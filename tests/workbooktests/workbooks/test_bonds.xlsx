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98D39693-9253-47C1-BCEF-B226CC19D9BD}" xr6:coauthVersionLast="36" xr6:coauthVersionMax="47" xr10:uidLastSave="{00000000-0000-0000-0000-000000000000}"/>
  <bookViews>
    <workbookView xWindow="-120" yWindow="-21720" windowWidth="38640" windowHeight="21120" xr2:uid="{A8952777-E146-413E-A9B0-D4A573A66C27}"/>
  </bookViews>
  <sheets>
    <sheet name="Tabs" sheetId="1" r:id="rId1"/>
    <sheet name="BondPrice" sheetId="18" r:id="rId2"/>
    <sheet name="BondSinkingSchedule_Notionals" sheetId="23" r:id="rId3"/>
    <sheet name="Bond" sheetId="3" r:id="rId4"/>
    <sheet name="ZeroCouponBond" sheetId="4" r:id="rId5"/>
    <sheet name="FixedRateBond" sheetId="5" r:id="rId6"/>
    <sheet name="AmortizingFixedRateBond" sheetId="6" r:id="rId7"/>
    <sheet name="AmortizingFloatingRateBond" sheetId="7" r:id="rId8"/>
    <sheet name="FloatingRateBond" sheetId="8" r:id="rId9"/>
    <sheet name="CmsRateBond" sheetId="9" r:id="rId10"/>
    <sheet name="AmortizingCmsRateBond" sheetId="10" r:id="rId11"/>
    <sheet name="Callability" sheetId="21" r:id="rId12"/>
    <sheet name="CallableFixedRateBond" sheetId="13" r:id="rId13"/>
    <sheet name="CallableZeroCouponBond" sheetId="14" r:id="rId14"/>
    <sheet name="CPIBond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3" l="1"/>
  <c r="B8" i="23"/>
  <c r="B2" i="23"/>
  <c r="C33" i="22"/>
  <c r="B75" i="13"/>
  <c r="B84" i="14"/>
  <c r="C97" i="13"/>
  <c r="C69" i="10"/>
  <c r="C80" i="14"/>
  <c r="C6" i="14"/>
  <c r="C28" i="8"/>
  <c r="B9" i="5"/>
  <c r="C69" i="6"/>
  <c r="B2" i="3"/>
  <c r="B75" i="22"/>
  <c r="C71" i="14"/>
  <c r="B19" i="22"/>
  <c r="B2" i="8"/>
  <c r="C22" i="13"/>
  <c r="B2" i="10"/>
  <c r="C9" i="5"/>
  <c r="B97" i="13"/>
  <c r="C20" i="3"/>
  <c r="B26" i="10"/>
  <c r="B11" i="6"/>
  <c r="B15" i="8"/>
  <c r="B2" i="4"/>
  <c r="C26" i="10"/>
  <c r="B19" i="9"/>
  <c r="B23" i="9"/>
  <c r="B33" i="22"/>
  <c r="C84" i="14"/>
  <c r="B84" i="13"/>
  <c r="C66" i="7"/>
  <c r="B2" i="14"/>
  <c r="B28" i="4"/>
  <c r="B9" i="8"/>
  <c r="B14" i="8" s="1"/>
  <c r="C52" i="14"/>
  <c r="C9" i="9"/>
  <c r="B22" i="13"/>
  <c r="B25" i="13" s="1"/>
  <c r="C24" i="5"/>
  <c r="C83" i="14"/>
  <c r="C85" i="14" s="1"/>
  <c r="C62" i="6"/>
  <c r="B3" i="21"/>
  <c r="C75" i="22"/>
  <c r="B2" i="9"/>
  <c r="C24" i="9" s="1"/>
  <c r="C14" i="5"/>
  <c r="B2" i="22"/>
  <c r="B6" i="3"/>
  <c r="C9" i="13"/>
  <c r="C23" i="9"/>
  <c r="C28" i="4"/>
  <c r="C48" i="8"/>
  <c r="B25" i="10"/>
  <c r="C29" i="7"/>
  <c r="B21" i="10"/>
  <c r="C63" i="8"/>
  <c r="C5" i="4"/>
  <c r="B5" i="18"/>
  <c r="B59" i="5"/>
  <c r="B12" i="14"/>
  <c r="B15" i="14" s="1"/>
  <c r="C10" i="22"/>
  <c r="B80" i="14"/>
  <c r="B83" i="14" s="1"/>
  <c r="B65" i="13"/>
  <c r="C27" i="13"/>
  <c r="B68" i="9"/>
  <c r="B43" i="4"/>
  <c r="B48" i="8"/>
  <c r="C65" i="13"/>
  <c r="C43" i="4"/>
  <c r="B2" i="5"/>
  <c r="C15" i="8"/>
  <c r="B62" i="14"/>
  <c r="B27" i="13"/>
  <c r="C60" i="22"/>
  <c r="B53" i="9"/>
  <c r="B6" i="21"/>
  <c r="B27" i="10"/>
  <c r="C21" i="10"/>
  <c r="B60" i="22"/>
  <c r="C59" i="5"/>
  <c r="B11" i="10"/>
  <c r="C9" i="8"/>
  <c r="C14" i="8" s="1"/>
  <c r="B10" i="22"/>
  <c r="C25" i="13"/>
  <c r="C24" i="6"/>
  <c r="B20" i="3"/>
  <c r="C93" i="13"/>
  <c r="B42" i="3"/>
  <c r="B43" i="3" s="1"/>
  <c r="C19" i="9"/>
  <c r="C25" i="9" s="1"/>
  <c r="C53" i="9"/>
  <c r="C34" i="14"/>
  <c r="B61" i="22"/>
  <c r="C35" i="14"/>
  <c r="B9" i="21"/>
  <c r="C25" i="10"/>
  <c r="C27" i="10" s="1"/>
  <c r="C68" i="9"/>
  <c r="B69" i="10"/>
  <c r="B11" i="7"/>
  <c r="B16" i="7" s="1"/>
  <c r="B2" i="6"/>
  <c r="C47" i="6" s="1"/>
  <c r="C48" i="6" s="1"/>
  <c r="C19" i="22"/>
  <c r="C20" i="22" s="1"/>
  <c r="B62" i="6"/>
  <c r="B5" i="4"/>
  <c r="B11" i="4" s="1"/>
  <c r="B2" i="7"/>
  <c r="C62" i="14"/>
  <c r="B66" i="7"/>
  <c r="B71" i="14"/>
  <c r="B6" i="14"/>
  <c r="B25" i="4"/>
  <c r="B54" i="10"/>
  <c r="B55" i="10" s="1"/>
  <c r="C11" i="6"/>
  <c r="B24" i="9"/>
  <c r="B34" i="14"/>
  <c r="B23" i="4"/>
  <c r="B17" i="4"/>
  <c r="B35" i="14"/>
  <c r="B49" i="8"/>
  <c r="C42" i="3"/>
  <c r="C84" i="13"/>
  <c r="C87" i="13" s="1"/>
  <c r="C89" i="13" s="1"/>
  <c r="C11" i="7"/>
  <c r="C16" i="7" s="1"/>
  <c r="B63" i="8"/>
  <c r="C22" i="5"/>
  <c r="B16" i="10"/>
  <c r="B2" i="13"/>
  <c r="C75" i="13"/>
  <c r="B93" i="13"/>
  <c r="C11" i="10"/>
  <c r="B47" i="6"/>
  <c r="B48" i="6" s="1"/>
  <c r="C12" i="14"/>
  <c r="B69" i="6"/>
  <c r="B52" i="14"/>
  <c r="B16" i="8"/>
  <c r="B31" i="8" s="1"/>
  <c r="B70" i="14"/>
  <c r="B9" i="13"/>
  <c r="B9" i="9"/>
  <c r="C51" i="7"/>
  <c r="B7" i="18"/>
  <c r="B49" i="4"/>
  <c r="B33" i="4"/>
  <c r="B40" i="4"/>
  <c r="B96" i="13"/>
  <c r="C49" i="8"/>
  <c r="C61" i="22"/>
  <c r="B35" i="8"/>
  <c r="B50" i="8"/>
  <c r="B51" i="8"/>
  <c r="B57" i="8" s="1"/>
  <c r="B62" i="8"/>
  <c r="B41" i="8"/>
  <c r="B46" i="8"/>
  <c r="B8" i="21"/>
  <c r="B33" i="8"/>
  <c r="B16" i="6"/>
  <c r="B30" i="6" s="1"/>
  <c r="C14" i="9"/>
  <c r="B38" i="8"/>
  <c r="B42" i="8"/>
  <c r="C36" i="9"/>
  <c r="B32" i="6"/>
  <c r="C37" i="9"/>
  <c r="B14" i="5"/>
  <c r="B27" i="5" s="1"/>
  <c r="B7" i="21"/>
  <c r="B37" i="5"/>
  <c r="B35" i="6"/>
  <c r="C74" i="9"/>
  <c r="B8" i="18"/>
  <c r="B6" i="18"/>
  <c r="B44" i="5"/>
  <c r="B45" i="5" s="1"/>
  <c r="C23" i="22"/>
  <c r="C43" i="22"/>
  <c r="B19" i="4"/>
  <c r="B21" i="4"/>
  <c r="B18" i="4"/>
  <c r="B35" i="4"/>
  <c r="B14" i="4"/>
  <c r="B24" i="4"/>
  <c r="B16" i="4"/>
  <c r="B13" i="4"/>
  <c r="B26" i="4"/>
  <c r="B12" i="4"/>
  <c r="B27" i="4"/>
  <c r="B15" i="4"/>
  <c r="B20" i="4"/>
  <c r="B22" i="4"/>
  <c r="C17" i="7"/>
  <c r="B17" i="7"/>
  <c r="B18" i="7" s="1"/>
  <c r="B51" i="7"/>
  <c r="B16" i="14"/>
  <c r="B79" i="14"/>
  <c r="B48" i="13"/>
  <c r="B49" i="13" s="1"/>
  <c r="B56" i="8"/>
  <c r="B44" i="8"/>
  <c r="B36" i="8"/>
  <c r="B69" i="8"/>
  <c r="B54" i="8"/>
  <c r="B37" i="8"/>
  <c r="B60" i="8"/>
  <c r="B39" i="8"/>
  <c r="B58" i="8"/>
  <c r="B47" i="8"/>
  <c r="B61" i="8"/>
  <c r="B34" i="8"/>
  <c r="B43" i="8"/>
  <c r="B32" i="8"/>
  <c r="B45" i="8"/>
  <c r="B53" i="8"/>
  <c r="B55" i="8"/>
  <c r="B40" i="8"/>
  <c r="B52" i="6"/>
  <c r="B75" i="6"/>
  <c r="B44" i="6"/>
  <c r="B59" i="6"/>
  <c r="B68" i="6"/>
  <c r="B45" i="6"/>
  <c r="B33" i="6"/>
  <c r="B36" i="6"/>
  <c r="B49" i="6"/>
  <c r="B40" i="6"/>
  <c r="B41" i="6"/>
  <c r="B42" i="6"/>
  <c r="B54" i="6"/>
  <c r="B43" i="6"/>
  <c r="B53" i="6"/>
  <c r="B37" i="6"/>
  <c r="B31" i="6"/>
  <c r="B34" i="6"/>
  <c r="B46" i="6"/>
  <c r="B38" i="6"/>
  <c r="B39" i="6"/>
  <c r="C50" i="9"/>
  <c r="C51" i="9"/>
  <c r="C60" i="9"/>
  <c r="C43" i="9"/>
  <c r="C58" i="9"/>
  <c r="C65" i="9"/>
  <c r="C41" i="9"/>
  <c r="C42" i="9"/>
  <c r="C46" i="9"/>
  <c r="C45" i="9"/>
  <c r="C47" i="9"/>
  <c r="C49" i="9"/>
  <c r="C44" i="9"/>
  <c r="C39" i="9"/>
  <c r="C52" i="9"/>
  <c r="C48" i="9"/>
  <c r="C38" i="9"/>
  <c r="C40" i="9"/>
  <c r="B36" i="5"/>
  <c r="B56" i="5"/>
  <c r="B46" i="5"/>
  <c r="B42" i="5"/>
  <c r="B43" i="5"/>
  <c r="B65" i="5"/>
  <c r="B29" i="5"/>
  <c r="B35" i="5"/>
  <c r="B57" i="5"/>
  <c r="B52" i="5"/>
  <c r="B41" i="5"/>
  <c r="B28" i="5"/>
  <c r="B33" i="5"/>
  <c r="B38" i="5"/>
  <c r="B40" i="5"/>
  <c r="B34" i="5"/>
  <c r="B49" i="5"/>
  <c r="B39" i="5"/>
  <c r="B50" i="5"/>
  <c r="B30" i="5"/>
  <c r="B31" i="5"/>
  <c r="B32" i="5"/>
  <c r="B47" i="5"/>
  <c r="B51" i="5"/>
  <c r="C51" i="22"/>
  <c r="C52" i="22"/>
  <c r="C58" i="22"/>
  <c r="C45" i="22"/>
  <c r="C50" i="22"/>
  <c r="C81" i="22"/>
  <c r="C53" i="22"/>
  <c r="C48" i="22"/>
  <c r="C47" i="22"/>
  <c r="C56" i="22"/>
  <c r="C59" i="22"/>
  <c r="C54" i="22"/>
  <c r="C72" i="22"/>
  <c r="C46" i="22"/>
  <c r="C65" i="22"/>
  <c r="C55" i="22"/>
  <c r="C44" i="22"/>
  <c r="C49" i="22"/>
  <c r="C57" i="22"/>
  <c r="C62" i="22"/>
  <c r="C67" i="22"/>
  <c r="B25" i="14"/>
  <c r="B46" i="14"/>
  <c r="B26" i="14"/>
  <c r="B24" i="14"/>
  <c r="B17" i="14"/>
  <c r="B18" i="14"/>
  <c r="B31" i="14"/>
  <c r="B20" i="14"/>
  <c r="B19" i="14"/>
  <c r="B68" i="14"/>
  <c r="B23" i="14"/>
  <c r="B29" i="14"/>
  <c r="B22" i="14"/>
  <c r="B49" i="14"/>
  <c r="B28" i="14"/>
  <c r="B41" i="14"/>
  <c r="B21" i="14"/>
  <c r="B30" i="14"/>
  <c r="B32" i="14"/>
  <c r="B39" i="14"/>
  <c r="B27" i="14"/>
  <c r="B60" i="6"/>
  <c r="B50" i="6"/>
  <c r="B55" i="6"/>
  <c r="B58" i="5"/>
  <c r="B53" i="5"/>
  <c r="B54" i="5" s="1"/>
  <c r="C66" i="22"/>
  <c r="C68" i="22"/>
  <c r="C63" i="22"/>
  <c r="C73" i="22"/>
  <c r="B61" i="6"/>
  <c r="B56" i="6"/>
  <c r="B57" i="6" s="1"/>
  <c r="C74" i="22"/>
  <c r="B98" i="13"/>
  <c r="C43" i="3"/>
  <c r="C54" i="9"/>
  <c r="C55" i="9" s="1"/>
  <c r="B85" i="14"/>
  <c r="B87" i="13"/>
  <c r="B89" i="13" s="1"/>
  <c r="C52" i="7"/>
  <c r="B36" i="14"/>
  <c r="C11" i="4"/>
  <c r="C54" i="10"/>
  <c r="C55" i="10" s="1"/>
  <c r="B14" i="9"/>
  <c r="B25" i="9"/>
  <c r="B36" i="9" s="1"/>
  <c r="C96" i="13"/>
  <c r="C98" i="13" s="1"/>
  <c r="C29" i="4"/>
  <c r="C74" i="14"/>
  <c r="C76" i="14" s="1"/>
  <c r="B34" i="7"/>
  <c r="C18" i="7"/>
  <c r="B29" i="4"/>
  <c r="B14" i="13"/>
  <c r="C16" i="6"/>
  <c r="C30" i="6" s="1"/>
  <c r="B20" i="22"/>
  <c r="C14" i="13"/>
  <c r="C69" i="22"/>
  <c r="C70" i="22" s="1"/>
  <c r="C15" i="14"/>
  <c r="B74" i="14"/>
  <c r="B76" i="14" s="1"/>
  <c r="B37" i="10"/>
  <c r="B10" i="3"/>
  <c r="B52" i="7"/>
  <c r="C16" i="10"/>
  <c r="C37" i="10"/>
  <c r="B54" i="9"/>
  <c r="C27" i="5"/>
  <c r="C48" i="13"/>
  <c r="C49" i="13" s="1"/>
  <c r="C16" i="8"/>
  <c r="C31" i="8" s="1"/>
  <c r="C44" i="5"/>
  <c r="C45" i="5" s="1"/>
  <c r="C56" i="9"/>
  <c r="C59" i="9"/>
  <c r="C61" i="9"/>
  <c r="C66" i="9"/>
  <c r="B59" i="14"/>
  <c r="B60" i="14"/>
  <c r="B61" i="14"/>
  <c r="B47" i="14"/>
  <c r="B42" i="14"/>
  <c r="B40" i="14"/>
  <c r="B58" i="14"/>
  <c r="B37" i="14"/>
  <c r="C16" i="4"/>
  <c r="C27" i="4"/>
  <c r="C40" i="4"/>
  <c r="C17" i="4"/>
  <c r="C14" i="4"/>
  <c r="C13" i="4"/>
  <c r="C18" i="4"/>
  <c r="C12" i="4"/>
  <c r="C24" i="4"/>
  <c r="C23" i="4"/>
  <c r="C20" i="4"/>
  <c r="C26" i="4"/>
  <c r="C25" i="4"/>
  <c r="C19" i="4"/>
  <c r="C35" i="4"/>
  <c r="C15" i="4"/>
  <c r="C33" i="4"/>
  <c r="C22" i="4"/>
  <c r="C21" i="4"/>
  <c r="C49" i="4"/>
  <c r="B42" i="9"/>
  <c r="B39" i="9"/>
  <c r="B58" i="9"/>
  <c r="B37" i="9"/>
  <c r="B40" i="9"/>
  <c r="B46" i="9"/>
  <c r="B49" i="9"/>
  <c r="B45" i="9"/>
  <c r="B38" i="9"/>
  <c r="B48" i="9"/>
  <c r="B50" i="9"/>
  <c r="B41" i="9"/>
  <c r="B55" i="9"/>
  <c r="B47" i="9"/>
  <c r="B52" i="9"/>
  <c r="B60" i="9"/>
  <c r="B44" i="9"/>
  <c r="B74" i="9"/>
  <c r="B43" i="9"/>
  <c r="B65" i="9"/>
  <c r="B51" i="9"/>
  <c r="B39" i="7"/>
  <c r="B38" i="7"/>
  <c r="B35" i="7"/>
  <c r="B49" i="7"/>
  <c r="B44" i="7"/>
  <c r="B41" i="7"/>
  <c r="B47" i="7"/>
  <c r="B56" i="7"/>
  <c r="B36" i="7"/>
  <c r="B43" i="7"/>
  <c r="B48" i="7"/>
  <c r="B40" i="7"/>
  <c r="B45" i="7"/>
  <c r="B53" i="7"/>
  <c r="B58" i="7"/>
  <c r="B57" i="7"/>
  <c r="B72" i="7"/>
  <c r="B63" i="7"/>
  <c r="B50" i="7"/>
  <c r="B42" i="7"/>
  <c r="B46" i="7"/>
  <c r="B37" i="7"/>
  <c r="B92" i="13"/>
  <c r="B99" i="13" s="1"/>
  <c r="B83" i="13"/>
  <c r="B90" i="13" s="1"/>
  <c r="B30" i="13"/>
  <c r="C37" i="6"/>
  <c r="C34" i="6"/>
  <c r="C36" i="6"/>
  <c r="C31" i="6"/>
  <c r="C39" i="6"/>
  <c r="C49" i="6"/>
  <c r="C55" i="6" s="1"/>
  <c r="C38" i="6"/>
  <c r="C32" i="6"/>
  <c r="C50" i="6"/>
  <c r="C56" i="6" s="1"/>
  <c r="C35" i="6"/>
  <c r="C43" i="6"/>
  <c r="C42" i="6"/>
  <c r="C57" i="6"/>
  <c r="C60" i="6"/>
  <c r="C45" i="6"/>
  <c r="C33" i="6"/>
  <c r="C54" i="6"/>
  <c r="C41" i="6"/>
  <c r="C46" i="6"/>
  <c r="C59" i="6"/>
  <c r="C53" i="6"/>
  <c r="C44" i="6"/>
  <c r="C52" i="6"/>
  <c r="C61" i="6"/>
  <c r="C40" i="6"/>
  <c r="C68" i="6"/>
  <c r="C75" i="6"/>
  <c r="B43" i="22"/>
  <c r="B23" i="22"/>
  <c r="C83" i="13"/>
  <c r="C92" i="13"/>
  <c r="C30" i="13"/>
  <c r="C16" i="14"/>
  <c r="C79" i="14"/>
  <c r="B53" i="10"/>
  <c r="B61" i="10"/>
  <c r="B50" i="10"/>
  <c r="B43" i="10"/>
  <c r="B66" i="10"/>
  <c r="B41" i="10"/>
  <c r="B59" i="10"/>
  <c r="B75" i="10"/>
  <c r="B51" i="10"/>
  <c r="B48" i="10"/>
  <c r="B45" i="10"/>
  <c r="B49" i="10"/>
  <c r="B56" i="10"/>
  <c r="B40" i="10"/>
  <c r="B39" i="10"/>
  <c r="B62" i="10"/>
  <c r="B47" i="10"/>
  <c r="B38" i="10"/>
  <c r="B52" i="10"/>
  <c r="B46" i="10"/>
  <c r="B42" i="10"/>
  <c r="B44" i="10"/>
  <c r="B23" i="3"/>
  <c r="C23" i="3"/>
  <c r="C52" i="10"/>
  <c r="C43" i="10"/>
  <c r="C75" i="10"/>
  <c r="C59" i="10"/>
  <c r="C56" i="10"/>
  <c r="C39" i="10"/>
  <c r="C57" i="10"/>
  <c r="C46" i="10"/>
  <c r="C53" i="10"/>
  <c r="C47" i="10"/>
  <c r="C60" i="10"/>
  <c r="C48" i="10"/>
  <c r="C66" i="10"/>
  <c r="C45" i="10"/>
  <c r="C51" i="10"/>
  <c r="C38" i="10"/>
  <c r="C62" i="10"/>
  <c r="C41" i="10"/>
  <c r="C50" i="10"/>
  <c r="C61" i="10"/>
  <c r="C44" i="10"/>
  <c r="C49" i="10"/>
  <c r="C42" i="10"/>
  <c r="C40" i="10"/>
  <c r="C36" i="5"/>
  <c r="C51" i="5"/>
  <c r="C35" i="5"/>
  <c r="C28" i="5"/>
  <c r="C49" i="5"/>
  <c r="C37" i="5"/>
  <c r="C43" i="5"/>
  <c r="C31" i="5"/>
  <c r="C30" i="5"/>
  <c r="C42" i="5"/>
  <c r="C34" i="5"/>
  <c r="C41" i="5"/>
  <c r="C46" i="5"/>
  <c r="C32" i="5"/>
  <c r="C65" i="5"/>
  <c r="C56" i="5"/>
  <c r="C40" i="5"/>
  <c r="C38" i="5"/>
  <c r="C29" i="5"/>
  <c r="C33" i="5"/>
  <c r="C39" i="5"/>
  <c r="C45" i="8"/>
  <c r="C46" i="8"/>
  <c r="C35" i="8"/>
  <c r="C60" i="8"/>
  <c r="C69" i="8"/>
  <c r="C55" i="8"/>
  <c r="C42" i="8"/>
  <c r="C53" i="8"/>
  <c r="C32" i="8"/>
  <c r="C47" i="8"/>
  <c r="C36" i="8"/>
  <c r="C33" i="8"/>
  <c r="C43" i="8"/>
  <c r="C39" i="8"/>
  <c r="C41" i="8"/>
  <c r="C40" i="8"/>
  <c r="C50" i="8"/>
  <c r="C37" i="8"/>
  <c r="C51" i="8"/>
  <c r="C34" i="8"/>
  <c r="C38" i="8"/>
  <c r="C44" i="8"/>
  <c r="C67" i="9"/>
  <c r="C62" i="9"/>
  <c r="C63" i="9" s="1"/>
  <c r="B48" i="14"/>
  <c r="B51" i="14"/>
  <c r="B57" i="14" s="1"/>
  <c r="B43" i="14"/>
  <c r="B44" i="14" s="1"/>
  <c r="B50" i="14"/>
  <c r="B61" i="9"/>
  <c r="B66" i="9"/>
  <c r="B56" i="9"/>
  <c r="B59" i="9"/>
  <c r="B64" i="7"/>
  <c r="B54" i="7"/>
  <c r="B59" i="7"/>
  <c r="B34" i="13"/>
  <c r="B46" i="13"/>
  <c r="B33" i="13"/>
  <c r="B41" i="13"/>
  <c r="B55" i="13"/>
  <c r="B39" i="13"/>
  <c r="B44" i="13"/>
  <c r="B35" i="13"/>
  <c r="B32" i="13"/>
  <c r="B43" i="13"/>
  <c r="B36" i="13"/>
  <c r="B81" i="13"/>
  <c r="B53" i="13"/>
  <c r="B40" i="13"/>
  <c r="B45" i="13"/>
  <c r="B38" i="13"/>
  <c r="B31" i="13"/>
  <c r="B42" i="13"/>
  <c r="B63" i="13"/>
  <c r="B50" i="13"/>
  <c r="B37" i="13"/>
  <c r="B60" i="13"/>
  <c r="B81" i="22"/>
  <c r="B62" i="22"/>
  <c r="B73" i="22"/>
  <c r="B47" i="22"/>
  <c r="B67" i="22"/>
  <c r="B65" i="22"/>
  <c r="B66" i="22"/>
  <c r="B49" i="22"/>
  <c r="B52" i="22"/>
  <c r="B51" i="22"/>
  <c r="B58" i="22"/>
  <c r="B59" i="22"/>
  <c r="B56" i="22"/>
  <c r="B44" i="22"/>
  <c r="B72" i="22"/>
  <c r="B53" i="22"/>
  <c r="B45" i="22"/>
  <c r="B50" i="22"/>
  <c r="B68" i="22"/>
  <c r="B54" i="22"/>
  <c r="B48" i="22"/>
  <c r="B63" i="22"/>
  <c r="B55" i="22"/>
  <c r="B57" i="22"/>
  <c r="B46" i="22"/>
  <c r="C90" i="13"/>
  <c r="C91" i="13"/>
  <c r="C40" i="13"/>
  <c r="C43" i="13"/>
  <c r="C32" i="13"/>
  <c r="C42" i="13"/>
  <c r="C53" i="13"/>
  <c r="C55" i="13"/>
  <c r="C36" i="13"/>
  <c r="C60" i="13"/>
  <c r="C45" i="13"/>
  <c r="C39" i="13"/>
  <c r="C31" i="13"/>
  <c r="C38" i="13"/>
  <c r="C41" i="13"/>
  <c r="C34" i="13"/>
  <c r="C46" i="13"/>
  <c r="C81" i="13"/>
  <c r="C35" i="13"/>
  <c r="C63" i="13"/>
  <c r="C33" i="13"/>
  <c r="C44" i="13"/>
  <c r="C37" i="13"/>
  <c r="C36" i="14"/>
  <c r="C47" i="14"/>
  <c r="C61" i="14"/>
  <c r="C42" i="14"/>
  <c r="C21" i="14"/>
  <c r="C18" i="14"/>
  <c r="C40" i="14"/>
  <c r="C30" i="14"/>
  <c r="C39" i="14"/>
  <c r="C60" i="14"/>
  <c r="C28" i="14"/>
  <c r="C32" i="14"/>
  <c r="C41" i="14"/>
  <c r="C29" i="14"/>
  <c r="C23" i="14"/>
  <c r="C19" i="14"/>
  <c r="C46" i="14"/>
  <c r="C59" i="14"/>
  <c r="C24" i="14"/>
  <c r="C20" i="14"/>
  <c r="C22" i="14"/>
  <c r="C31" i="14"/>
  <c r="C68" i="14"/>
  <c r="C37" i="14"/>
  <c r="C17" i="14"/>
  <c r="C49" i="14"/>
  <c r="C26" i="14"/>
  <c r="C58" i="14"/>
  <c r="C27" i="14"/>
  <c r="C25" i="14"/>
  <c r="C86" i="14"/>
  <c r="C87" i="14"/>
  <c r="B67" i="10"/>
  <c r="B57" i="10"/>
  <c r="B60" i="10"/>
  <c r="C68" i="10"/>
  <c r="C63" i="10"/>
  <c r="C64" i="10" s="1"/>
  <c r="C47" i="5"/>
  <c r="C50" i="5"/>
  <c r="C52" i="5"/>
  <c r="C57" i="5"/>
  <c r="C56" i="8"/>
  <c r="C61" i="8"/>
  <c r="C54" i="8"/>
  <c r="C62" i="8"/>
  <c r="C57" i="8"/>
  <c r="C58" i="8" s="1"/>
  <c r="B67" i="9"/>
  <c r="B62" i="9"/>
  <c r="B63" i="9" s="1"/>
  <c r="B65" i="7"/>
  <c r="B60" i="7"/>
  <c r="B61" i="7" s="1"/>
  <c r="B51" i="13"/>
  <c r="B73" i="13"/>
  <c r="B71" i="13"/>
  <c r="B54" i="13"/>
  <c r="B74" i="13"/>
  <c r="B72" i="13"/>
  <c r="B61" i="13"/>
  <c r="B56" i="13"/>
  <c r="B74" i="22"/>
  <c r="B69" i="22"/>
  <c r="B70" i="22" s="1"/>
  <c r="C48" i="14"/>
  <c r="C50" i="14"/>
  <c r="C43" i="14"/>
  <c r="C44" i="14" s="1"/>
  <c r="C51" i="14"/>
  <c r="C57" i="14" s="1"/>
  <c r="B68" i="10"/>
  <c r="B63" i="10"/>
  <c r="B64" i="10" s="1"/>
  <c r="C58" i="5"/>
  <c r="C53" i="5"/>
  <c r="B62" i="13"/>
  <c r="B57" i="13"/>
  <c r="B58" i="13" s="1"/>
  <c r="B64" i="13"/>
  <c r="B70" i="13" s="1"/>
  <c r="B100" i="13"/>
  <c r="C99" i="13"/>
  <c r="C100" i="13" s="1"/>
  <c r="C50" i="13"/>
  <c r="B86" i="14"/>
  <c r="C67" i="10"/>
  <c r="C25" i="3"/>
  <c r="B25" i="3"/>
  <c r="C30" i="4"/>
  <c r="B77" i="14"/>
  <c r="B78" i="14" s="1"/>
  <c r="C44" i="3"/>
  <c r="C54" i="5"/>
  <c r="C70" i="14"/>
  <c r="C77" i="14" s="1"/>
  <c r="B30" i="4"/>
  <c r="C34" i="7"/>
  <c r="B91" i="13"/>
  <c r="C73" i="13"/>
  <c r="C71" i="13"/>
  <c r="C56" i="13"/>
  <c r="C61" i="13"/>
  <c r="C51" i="13"/>
  <c r="C74" i="13"/>
  <c r="C54" i="13"/>
  <c r="C72" i="13"/>
  <c r="C48" i="3"/>
  <c r="C55" i="3"/>
  <c r="C40" i="3"/>
  <c r="C47" i="3"/>
  <c r="C45" i="3"/>
  <c r="C51" i="3" s="1"/>
  <c r="C31" i="3"/>
  <c r="C37" i="3"/>
  <c r="C56" i="3"/>
  <c r="C50" i="3"/>
  <c r="C35" i="3"/>
  <c r="C54" i="3"/>
  <c r="C34" i="3"/>
  <c r="C28" i="3"/>
  <c r="C26" i="3"/>
  <c r="C32" i="3"/>
  <c r="C30" i="3"/>
  <c r="C33" i="3"/>
  <c r="C39" i="3"/>
  <c r="C38" i="3"/>
  <c r="C49" i="3"/>
  <c r="C29" i="3"/>
  <c r="C41" i="3"/>
  <c r="C36" i="3"/>
  <c r="C27" i="3"/>
  <c r="B44" i="3"/>
  <c r="B50" i="3"/>
  <c r="B48" i="3"/>
  <c r="B40" i="3"/>
  <c r="B41" i="3"/>
  <c r="B39" i="3"/>
  <c r="B45" i="3"/>
  <c r="B51" i="3" s="1"/>
  <c r="B30" i="3"/>
  <c r="B28" i="3"/>
  <c r="B37" i="3"/>
  <c r="B55" i="3"/>
  <c r="B27" i="3"/>
  <c r="B29" i="3"/>
  <c r="B49" i="3"/>
  <c r="B54" i="3"/>
  <c r="B31" i="3"/>
  <c r="B33" i="3"/>
  <c r="B26" i="3"/>
  <c r="B34" i="3"/>
  <c r="B35" i="3"/>
  <c r="B47" i="3"/>
  <c r="B56" i="3"/>
  <c r="B36" i="3"/>
  <c r="B38" i="3"/>
  <c r="B32" i="3"/>
  <c r="C34" i="4"/>
  <c r="C31" i="4"/>
  <c r="C41" i="4"/>
  <c r="C36" i="4"/>
  <c r="B34" i="4"/>
  <c r="B41" i="4"/>
  <c r="B31" i="4"/>
  <c r="B36" i="4"/>
  <c r="C58" i="7"/>
  <c r="C53" i="7"/>
  <c r="C63" i="7"/>
  <c r="C50" i="7"/>
  <c r="C48" i="7"/>
  <c r="C54" i="7"/>
  <c r="C60" i="7" s="1"/>
  <c r="C61" i="7" s="1"/>
  <c r="C42" i="7"/>
  <c r="C39" i="7"/>
  <c r="C40" i="7"/>
  <c r="C37" i="7"/>
  <c r="C44" i="7"/>
  <c r="C47" i="7"/>
  <c r="C45" i="7"/>
  <c r="C38" i="7"/>
  <c r="C41" i="7"/>
  <c r="C57" i="7"/>
  <c r="C46" i="7"/>
  <c r="C56" i="7"/>
  <c r="C49" i="7"/>
  <c r="C72" i="7"/>
  <c r="C65" i="7"/>
  <c r="C43" i="7"/>
  <c r="C36" i="7"/>
  <c r="C35" i="7"/>
  <c r="C62" i="13"/>
  <c r="C64" i="13"/>
  <c r="C70" i="13" s="1"/>
  <c r="C57" i="13"/>
  <c r="C58" i="13" s="1"/>
  <c r="C42" i="4"/>
  <c r="C37" i="4"/>
  <c r="C38" i="4" s="1"/>
  <c r="B42" i="4"/>
  <c r="B37" i="4"/>
  <c r="B38" i="4" s="1"/>
  <c r="C64" i="7"/>
  <c r="C59" i="7"/>
  <c r="B87" i="14"/>
  <c r="C78" i="14"/>
  <c r="B52" i="3"/>
  <c r="C52" i="3"/>
</calcChain>
</file>

<file path=xl/sharedStrings.xml><?xml version="1.0" encoding="utf-8"?>
<sst xmlns="http://schemas.openxmlformats.org/spreadsheetml/2006/main" count="1058" uniqueCount="209">
  <si>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</si>
  <si>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</si>
  <si>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</si>
  <si>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</si>
  <si>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</si>
  <si>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</si>
  <si>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</si>
  <si>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</si>
  <si>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</si>
  <si>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</si>
  <si>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</si>
  <si>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</si>
  <si>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</si>
  <si>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</si>
  <si>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</si>
  <si>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</si>
  <si>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</si>
  <si>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</si>
  <si>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</si>
  <si>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</si>
  <si>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</si>
  <si>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</si>
  <si>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</si>
  <si>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</si>
  <si>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</si>
  <si>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</si>
  <si>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</si>
  <si>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</si>
  <si>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</si>
  <si>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</si>
  <si>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</si>
  <si>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</si>
  <si>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</si>
  <si>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</si>
  <si>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</si>
  <si>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</si>
  <si>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</si>
  <si>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</si>
  <si>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</si>
  <si>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</si>
  <si>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</si>
  <si>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</si>
  <si>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</si>
  <si>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</si>
  <si>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</si>
  <si>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</si>
  <si>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</si>
  <si>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</si>
  <si>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</si>
  <si>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</si>
  <si>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</si>
  <si>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</si>
  <si>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</si>
  <si>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</si>
  <si>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</si>
  <si>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</si>
  <si>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</si>
  <si>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</si>
  <si>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</si>
  <si>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</si>
  <si>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</si>
  <si>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</si>
  <si>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</si>
  <si>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</si>
  <si>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</si>
  <si>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</si>
  <si>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</si>
  <si>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</si>
  <si>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</si>
  <si>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</si>
  <si>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</si>
  <si>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</si>
  <si>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</si>
  <si>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</si>
  <si>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</si>
  <si>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</si>
  <si>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</si>
  <si>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</si>
  <si>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</si>
  <si>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</si>
  <si>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</si>
  <si>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</si>
  <si>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</si>
  <si>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</si>
  <si>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</si>
  <si>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</si>
  <si>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</si>
  <si>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</si>
  <si>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</si>
  <si>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</si>
  <si>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</si>
  <si>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</si>
  <si>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</si>
  <si>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</si>
  <si>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</si>
  <si>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</si>
  <si>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</si>
  <si>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</si>
  <si>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</si>
  <si>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</si>
  <si>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</si>
  <si>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</si>
  <si>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</si>
  <si>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</si>
  <si>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</si>
  <si>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</si>
  <si>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</si>
  <si>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</si>
  <si>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</si>
  <si>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</si>
  <si>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</si>
  <si>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</si>
  <si>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</si>
  <si>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</si>
  <si>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</si>
  <si>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</si>
  <si>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</si>
  <si>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</si>
  <si>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</si>
  <si>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</si>
  <si>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</si>
  <si>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</si>
  <si>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</si>
  <si>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</si>
  <si>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</si>
  <si>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</si>
  <si>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</si>
  <si>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</si>
  <si>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</si>
  <si>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</si>
  <si>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</si>
  <si>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</si>
  <si>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</si>
  <si>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</si>
  <si>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</si>
  <si>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</si>
  <si>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</si>
  <si>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</si>
  <si>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</si>
  <si>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</si>
  <si>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</si>
  <si>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</si>
  <si>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</si>
  <si>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</si>
  <si>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</si>
  <si>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</si>
  <si>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</si>
  <si>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</si>
  <si>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</si>
  <si>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</si>
  <si>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</si>
  <si>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</si>
  <si>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</si>
  <si>
    <t>target_price</t>
  </si>
  <si>
    <t>discounting_curve</t>
  </si>
  <si>
    <t>accuracy</t>
  </si>
  <si>
    <t>max_evaluations</t>
  </si>
  <si>
    <t>min_vol</t>
  </si>
  <si>
    <t>max_vol</t>
  </si>
  <si>
    <t>6M</t>
  </si>
  <si>
    <t>Backward</t>
  </si>
  <si>
    <t>Call</t>
  </si>
  <si>
    <t>qlBondCleanPriceFromZSpread</t>
  </si>
  <si>
    <t>z_spread</t>
  </si>
  <si>
    <t>compounding</t>
  </si>
  <si>
    <t>dc</t>
  </si>
  <si>
    <t>freq</t>
  </si>
  <si>
    <t>settlement_date</t>
  </si>
  <si>
    <t>actual365fixed</t>
  </si>
  <si>
    <t>Compounded</t>
  </si>
  <si>
    <t>Annual</t>
  </si>
  <si>
    <t>TreeCallableFixedRateBondEngine_Bond</t>
  </si>
  <si>
    <t>termstruture</t>
  </si>
  <si>
    <t>a</t>
  </si>
  <si>
    <t>sigma</t>
  </si>
  <si>
    <t>model (qlHullWhite)</t>
  </si>
  <si>
    <t>time_steps</t>
  </si>
  <si>
    <t>qlTreeCallableFixedRateBondEngine</t>
  </si>
  <si>
    <t>TimeGrid_Values</t>
  </si>
  <si>
    <t>TreeCallableFixedRateBondEngine2_Bond</t>
  </si>
  <si>
    <t>time_grid</t>
  </si>
  <si>
    <t>growth_only</t>
  </si>
  <si>
    <t>base_cpi</t>
  </si>
  <si>
    <t>observation_lag</t>
  </si>
  <si>
    <t>cpi_index</t>
  </si>
  <si>
    <t>observation_interpolation</t>
  </si>
  <si>
    <t>familiy_name</t>
  </si>
  <si>
    <t>region</t>
  </si>
  <si>
    <t>revised</t>
  </si>
  <si>
    <t>frequency</t>
  </si>
  <si>
    <t>avaibility_lag</t>
  </si>
  <si>
    <t>zero_inflation_trem_structure</t>
  </si>
  <si>
    <t>TEST_CPI</t>
  </si>
  <si>
    <t>dates</t>
  </si>
  <si>
    <t>rates</t>
  </si>
  <si>
    <t>value</t>
  </si>
  <si>
    <t>qlIndexAddFixing</t>
  </si>
  <si>
    <t>Linear</t>
  </si>
  <si>
    <t>TARGET</t>
  </si>
  <si>
    <t>qlCPIBond</t>
  </si>
  <si>
    <t>BondSinkingSchedule_Notionals</t>
  </si>
  <si>
    <t>start_date</t>
  </si>
  <si>
    <t>bond_length</t>
  </si>
  <si>
    <t>5Y</t>
  </si>
  <si>
    <t>qlBondSinkingSchedule</t>
  </si>
  <si>
    <t>coupon_rate</t>
  </si>
  <si>
    <t>initial_amount</t>
  </si>
  <si>
    <t>qlBondSinkingNotionals</t>
  </si>
  <si>
    <t>{=qlBondSinkingNotionals(B10;B11;B12;B13)}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</si>
</sst>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5" xfId="0" applyFont="1" applyBorder="1"/>
    <xf numFmtId="0" fontId="0" fillId="0" borderId="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5" xfId="0" applyBorder="1"/>
    <xf numFmtId="0" fontId="4" fillId="0" borderId="15" xfId="0" applyFont="1" applyBorder="1"/>
    <xf numFmtId="0" fontId="3" fillId="0" borderId="15" xfId="0" applyFont="1" applyBorder="1"/>
    <xf numFmtId="0" fontId="0" fillId="0" borderId="15" xfId="0" applyFont="1" applyBorder="1"/>
    <xf numFmtId="0" fontId="3" fillId="0" borderId="17" xfId="0" applyFont="1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12" xfId="0" applyFont="1" applyBorder="1"/>
    <xf numFmtId="14" fontId="2" fillId="0" borderId="13" xfId="0" applyNumberFormat="1" applyFont="1" applyBorder="1" applyAlignment="1">
      <alignment horizontal="left"/>
    </xf>
    <xf numFmtId="14" fontId="2" fillId="0" borderId="14" xfId="0" applyNumberFormat="1" applyFont="1" applyBorder="1" applyAlignment="1">
      <alignment horizontal="left"/>
    </xf>
    <xf numFmtId="14" fontId="2" fillId="0" borderId="0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17" xfId="0" applyBorder="1"/>
    <xf numFmtId="14" fontId="0" fillId="0" borderId="13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7" xfId="0" applyFont="1" applyBorder="1"/>
    <xf numFmtId="0" fontId="0" fillId="0" borderId="12" xfId="0" applyFont="1" applyBorder="1"/>
    <xf numFmtId="0" fontId="4" fillId="0" borderId="12" xfId="0" applyFont="1" applyBorder="1"/>
    <xf numFmtId="164" fontId="0" fillId="0" borderId="13" xfId="0" applyNumberFormat="1" applyBorder="1" applyAlignment="1">
      <alignment horizontal="left"/>
    </xf>
    <xf numFmtId="164" fontId="0" fillId="0" borderId="14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0" fontId="3" fillId="0" borderId="20" xfId="0" applyFont="1" applyBorder="1"/>
    <xf numFmtId="164" fontId="0" fillId="0" borderId="21" xfId="0" applyNumberFormat="1" applyBorder="1" applyAlignment="1">
      <alignment horizontal="left"/>
    </xf>
    <xf numFmtId="164" fontId="0" fillId="0" borderId="22" xfId="0" applyNumberFormat="1" applyBorder="1" applyAlignment="1">
      <alignment horizontal="left"/>
    </xf>
    <xf numFmtId="0" fontId="1" fillId="0" borderId="11" xfId="0" applyFont="1" applyBorder="1"/>
    <xf numFmtId="0" fontId="0" fillId="0" borderId="11" xfId="0" applyBorder="1" applyAlignment="1">
      <alignment horizontal="left"/>
    </xf>
    <xf numFmtId="0" fontId="3" fillId="0" borderId="11" xfId="0" applyFont="1" applyBorder="1"/>
    <xf numFmtId="14" fontId="0" fillId="0" borderId="11" xfId="0" applyNumberFormat="1" applyBorder="1" applyAlignment="1">
      <alignment horizontal="left"/>
    </xf>
    <xf numFmtId="164" fontId="0" fillId="0" borderId="11" xfId="0" applyNumberFormat="1" applyBorder="1" applyAlignment="1">
      <alignment horizontal="left"/>
    </xf>
    <xf numFmtId="0" fontId="3" fillId="0" borderId="23" xfId="0" applyFont="1" applyBorder="1"/>
    <xf numFmtId="0" fontId="0" fillId="0" borderId="23" xfId="0" applyBorder="1" applyAlignment="1">
      <alignment horizontal="left"/>
    </xf>
    <xf numFmtId="11" fontId="0" fillId="0" borderId="0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64" fontId="0" fillId="0" borderId="16" xfId="0" applyNumberFormat="1" applyBorder="1" applyAlignment="1">
      <alignment horizontal="left"/>
    </xf>
    <xf numFmtId="11" fontId="0" fillId="0" borderId="16" xfId="0" applyNumberFormat="1" applyBorder="1" applyAlignment="1">
      <alignment horizontal="left"/>
    </xf>
    <xf numFmtId="0" fontId="3" fillId="0" borderId="17" xfId="0" applyFont="1" applyFill="1" applyBorder="1"/>
    <xf numFmtId="0" fontId="4" fillId="0" borderId="18" xfId="0" applyFont="1" applyFill="1" applyBorder="1" applyAlignment="1">
      <alignment horizontal="left"/>
    </xf>
    <xf numFmtId="0" fontId="4" fillId="0" borderId="19" xfId="0" applyFont="1" applyFill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1" fillId="0" borderId="20" xfId="0" applyFont="1" applyBorder="1"/>
    <xf numFmtId="2" fontId="0" fillId="0" borderId="0" xfId="0" applyNumberFormat="1" applyBorder="1" applyAlignment="1">
      <alignment horizontal="left"/>
    </xf>
    <xf numFmtId="2" fontId="0" fillId="0" borderId="16" xfId="0" applyNumberFormat="1" applyBorder="1" applyAlignment="1">
      <alignment horizontal="left"/>
    </xf>
    <xf numFmtId="0" fontId="6" fillId="0" borderId="15" xfId="0" applyFont="1" applyBorder="1"/>
    <xf numFmtId="0" fontId="7" fillId="0" borderId="12" xfId="0" applyFont="1" applyBorder="1"/>
    <xf numFmtId="0" fontId="0" fillId="0" borderId="18" xfId="0" applyFill="1" applyBorder="1" applyAlignment="1">
      <alignment horizontal="left"/>
    </xf>
    <xf numFmtId="0" fontId="0" fillId="0" borderId="19" xfId="0" applyFill="1" applyBorder="1" applyAlignment="1">
      <alignment horizontal="left"/>
    </xf>
    <xf numFmtId="0" fontId="6" fillId="0" borderId="20" xfId="0" applyFont="1" applyBorder="1"/>
    <xf numFmtId="0" fontId="0" fillId="0" borderId="17" xfId="0" applyFont="1" applyBorder="1"/>
    <xf numFmtId="0" fontId="0" fillId="0" borderId="13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0" fontId="0" fillId="0" borderId="16" xfId="0" applyFont="1" applyBorder="1" applyAlignment="1">
      <alignment horizontal="left"/>
    </xf>
    <xf numFmtId="14" fontId="0" fillId="0" borderId="0" xfId="0" applyNumberFormat="1" applyFont="1" applyBorder="1" applyAlignment="1">
      <alignment horizontal="left"/>
    </xf>
    <xf numFmtId="14" fontId="0" fillId="0" borderId="16" xfId="0" applyNumberFormat="1" applyFont="1" applyBorder="1" applyAlignment="1">
      <alignment horizontal="left"/>
    </xf>
    <xf numFmtId="14" fontId="0" fillId="0" borderId="13" xfId="0" applyNumberFormat="1" applyFont="1" applyBorder="1" applyAlignment="1">
      <alignment horizontal="left"/>
    </xf>
    <xf numFmtId="14" fontId="0" fillId="0" borderId="14" xfId="0" applyNumberFormat="1" applyFont="1" applyBorder="1" applyAlignment="1">
      <alignment horizontal="left"/>
    </xf>
    <xf numFmtId="0" fontId="0" fillId="0" borderId="18" xfId="0" applyFont="1" applyBorder="1" applyAlignment="1">
      <alignment horizontal="left"/>
    </xf>
    <xf numFmtId="0" fontId="0" fillId="0" borderId="19" xfId="0" applyFont="1" applyBorder="1" applyAlignment="1">
      <alignment horizontal="left"/>
    </xf>
    <xf numFmtId="0" fontId="0" fillId="0" borderId="23" xfId="0" applyFont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5" xfId="0" applyBorder="1" applyAlignment="1">
      <alignment horizontal="left"/>
    </xf>
    <xf numFmtId="14" fontId="0" fillId="0" borderId="15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0" xfId="0" applyNumberForma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5" xfId="0" applyFont="1" applyBorder="1"/>
    <xf numFmtId="0" fontId="4" fillId="0" borderId="17" xfId="0" applyFont="1" applyBorder="1"/>
    <xf numFmtId="0" fontId="2" fillId="0" borderId="17" xfId="0" applyFont="1" applyBorder="1"/>
    <xf numFmtId="0" fontId="4" fillId="0" borderId="9" xfId="0" applyFont="1" applyBorder="1"/>
    <xf numFmtId="0" fontId="1" fillId="0" borderId="12" xfId="0" applyFont="1" applyBorder="1"/>
    <xf numFmtId="0" fontId="1" fillId="0" borderId="15" xfId="0" applyFont="1" applyBorder="1"/>
    <xf numFmtId="14" fontId="0" fillId="0" borderId="21" xfId="0" applyNumberFormat="1" applyBorder="1" applyAlignment="1">
      <alignment horizontal="left"/>
    </xf>
    <xf numFmtId="14" fontId="1" fillId="0" borderId="20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0" xfId="0" applyFont="1"/>
    <xf numFmtId="0" fontId="0" fillId="0" borderId="0" xfId="0" quotePrefix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7"/>
  <sheetViews>
    <sheetView tabSelected="1" workbookViewId="0"/>
  </sheetViews>
  <sheetFormatPr baseColWidth="10" defaultColWidth="11.5703125" defaultRowHeight="15" x14ac:dyDescent="0.25"/>
  <cols>
    <col min="1" max="1" width="11.42578125" style="15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16" t="s">
        <v>113</v>
      </c>
      <c r="C2" s="115" t="s">
        <v>114</v>
      </c>
      <c r="D2" s="115"/>
      <c r="E2" s="116"/>
    </row>
    <row r="3" spans="2:5" ht="15.75" thickBot="1" x14ac:dyDescent="0.3">
      <c r="B3" s="17"/>
      <c r="C3" s="18" t="s">
        <v>51</v>
      </c>
      <c r="D3" s="107" t="s">
        <v>10</v>
      </c>
      <c r="E3" s="19" t="s">
        <v>115</v>
      </c>
    </row>
    <row r="4" spans="2:5" x14ac:dyDescent="0.25">
      <c r="B4" s="28" t="s">
        <v>116</v>
      </c>
      <c r="C4" s="26"/>
      <c r="D4" s="26"/>
      <c r="E4" s="27"/>
    </row>
    <row r="5" spans="2:5" x14ac:dyDescent="0.25">
      <c r="B5" s="20" t="s">
        <v>200</v>
      </c>
      <c r="C5" s="26"/>
      <c r="D5" s="26"/>
      <c r="E5" s="27"/>
    </row>
    <row r="6" spans="2:5" x14ac:dyDescent="0.25">
      <c r="B6" s="20" t="s">
        <v>0</v>
      </c>
      <c r="C6" s="21" t="s">
        <v>112</v>
      </c>
      <c r="D6" s="21"/>
      <c r="E6" s="22"/>
    </row>
    <row r="7" spans="2:5" x14ac:dyDescent="0.25">
      <c r="B7" s="20" t="s">
        <v>1</v>
      </c>
      <c r="C7" s="21" t="s">
        <v>112</v>
      </c>
      <c r="D7" s="21"/>
      <c r="E7" s="22"/>
    </row>
    <row r="8" spans="2:5" x14ac:dyDescent="0.25">
      <c r="B8" s="20" t="s">
        <v>2</v>
      </c>
      <c r="C8" s="21" t="s">
        <v>112</v>
      </c>
      <c r="D8" s="21"/>
      <c r="E8" s="22"/>
    </row>
    <row r="9" spans="2:5" x14ac:dyDescent="0.25">
      <c r="B9" s="20" t="s">
        <v>3</v>
      </c>
      <c r="C9" s="21" t="s">
        <v>112</v>
      </c>
      <c r="D9" s="21"/>
      <c r="E9" s="22"/>
    </row>
    <row r="10" spans="2:5" x14ac:dyDescent="0.25">
      <c r="B10" s="20" t="s">
        <v>4</v>
      </c>
      <c r="C10" s="21" t="s">
        <v>112</v>
      </c>
      <c r="D10" s="21"/>
      <c r="E10" s="22"/>
    </row>
    <row r="11" spans="2:5" x14ac:dyDescent="0.25">
      <c r="B11" s="20" t="s">
        <v>5</v>
      </c>
      <c r="C11" s="21" t="s">
        <v>112</v>
      </c>
      <c r="D11" s="21"/>
      <c r="E11" s="22"/>
    </row>
    <row r="12" spans="2:5" x14ac:dyDescent="0.25">
      <c r="B12" s="20" t="s">
        <v>6</v>
      </c>
      <c r="C12" s="21" t="s">
        <v>112</v>
      </c>
      <c r="D12" s="21"/>
      <c r="E12" s="22"/>
    </row>
    <row r="13" spans="2:5" x14ac:dyDescent="0.25">
      <c r="B13" s="25" t="s">
        <v>7</v>
      </c>
      <c r="C13" s="21" t="s">
        <v>112</v>
      </c>
      <c r="D13" s="21"/>
      <c r="E13" s="22"/>
    </row>
    <row r="14" spans="2:5" x14ac:dyDescent="0.25">
      <c r="B14" s="25" t="s">
        <v>124</v>
      </c>
      <c r="C14" s="21"/>
      <c r="D14" s="21"/>
      <c r="E14" s="22"/>
    </row>
    <row r="15" spans="2:5" x14ac:dyDescent="0.25">
      <c r="B15" s="25" t="s">
        <v>8</v>
      </c>
      <c r="C15" s="21"/>
      <c r="D15" s="21" t="s">
        <v>112</v>
      </c>
      <c r="E15" s="22" t="s">
        <v>112</v>
      </c>
    </row>
    <row r="16" spans="2:5" x14ac:dyDescent="0.25">
      <c r="B16" s="25" t="s">
        <v>9</v>
      </c>
      <c r="C16" s="21"/>
      <c r="D16" s="21" t="s">
        <v>112</v>
      </c>
      <c r="E16" s="22" t="s">
        <v>112</v>
      </c>
    </row>
    <row r="17" spans="2:5" ht="15.75" thickBot="1" x14ac:dyDescent="0.3">
      <c r="B17" s="110" t="s">
        <v>11</v>
      </c>
      <c r="C17" s="23" t="s">
        <v>112</v>
      </c>
      <c r="D17" s="23"/>
      <c r="E17" s="24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>
      <selection activeCell="H4" sqref="H4"/>
    </sheetView>
  </sheetViews>
  <sheetFormatPr baseColWidth="10" defaultColWidth="11.5703125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117</v>
      </c>
      <c r="B3" s="3">
        <v>100</v>
      </c>
    </row>
    <row r="4" spans="1:2" x14ac:dyDescent="0.25">
      <c r="A4" t="s">
        <v>118</v>
      </c>
      <c r="B4" s="3" t="s">
        <v>119</v>
      </c>
    </row>
    <row r="5" spans="1:2" x14ac:dyDescent="0.25">
      <c r="A5" s="4" t="s">
        <v>120</v>
      </c>
      <c r="B5" s="3" t="str">
        <f>_xll.qlBondPrice(B3,B4)</f>
        <v>欣[test_bonds.xlsx]BondPrice!R5C2BondPrice,A</v>
      </c>
    </row>
    <row r="6" spans="1:2" x14ac:dyDescent="0.25">
      <c r="A6" s="4" t="s">
        <v>121</v>
      </c>
      <c r="B6" s="3">
        <f>_xll.qlBondPriceAmount(B5)</f>
        <v>100</v>
      </c>
    </row>
    <row r="7" spans="1:2" x14ac:dyDescent="0.25">
      <c r="A7" s="4" t="s">
        <v>122</v>
      </c>
      <c r="B7" s="3" t="str">
        <f>_xll.qlBondPriceType(B5)</f>
        <v>CLEAN</v>
      </c>
    </row>
    <row r="8" spans="1:2" x14ac:dyDescent="0.25">
      <c r="A8" s="4" t="s">
        <v>123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2D3EA-26F0-4B90-9FC1-2485363E0315}">
  <dimension ref="A1:B1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28515625" bestFit="1" customWidth="1"/>
    <col min="2" max="2" width="63.7109375" style="3" bestFit="1" customWidth="1"/>
  </cols>
  <sheetData>
    <row r="1" spans="1:2" x14ac:dyDescent="0.25">
      <c r="A1" t="s">
        <v>12</v>
      </c>
      <c r="B1" s="2">
        <v>45659</v>
      </c>
    </row>
    <row r="2" spans="1:2" x14ac:dyDescent="0.25">
      <c r="A2" t="s">
        <v>13</v>
      </c>
      <c r="B2" s="2">
        <f>_xll.qlSettingsSetEvaluationDate(B1)</f>
        <v>45659</v>
      </c>
    </row>
    <row r="4" spans="1:2" x14ac:dyDescent="0.25">
      <c r="A4" s="119" t="s">
        <v>201</v>
      </c>
      <c r="B4" s="2">
        <v>45659</v>
      </c>
    </row>
    <row r="5" spans="1:2" x14ac:dyDescent="0.25">
      <c r="A5" s="119" t="s">
        <v>202</v>
      </c>
      <c r="B5" s="3" t="s">
        <v>203</v>
      </c>
    </row>
    <row r="6" spans="1:2" x14ac:dyDescent="0.25">
      <c r="A6" s="119" t="s">
        <v>189</v>
      </c>
      <c r="B6" s="3" t="s">
        <v>170</v>
      </c>
    </row>
    <row r="7" spans="1:2" x14ac:dyDescent="0.25">
      <c r="A7" s="119" t="s">
        <v>68</v>
      </c>
      <c r="B7" s="3" t="s">
        <v>198</v>
      </c>
    </row>
    <row r="8" spans="1:2" x14ac:dyDescent="0.25">
      <c r="A8" s="4" t="s">
        <v>204</v>
      </c>
      <c r="B8" s="3" t="str">
        <f>_xll.qlBondSinkingSchedule(B4,B5,B6,B7)</f>
        <v>欣[test_bonds.xlsx]BondSinkingSchedule_Notionals!R8C2Schedule,A</v>
      </c>
    </row>
    <row r="10" spans="1:2" x14ac:dyDescent="0.25">
      <c r="A10" s="119" t="s">
        <v>202</v>
      </c>
      <c r="B10" s="3" t="s">
        <v>203</v>
      </c>
    </row>
    <row r="11" spans="1:2" x14ac:dyDescent="0.25">
      <c r="A11" s="119" t="s">
        <v>189</v>
      </c>
      <c r="B11" s="3" t="s">
        <v>170</v>
      </c>
    </row>
    <row r="12" spans="1:2" x14ac:dyDescent="0.25">
      <c r="A12" s="119" t="s">
        <v>205</v>
      </c>
      <c r="B12" s="3">
        <v>0.05</v>
      </c>
    </row>
    <row r="13" spans="1:2" x14ac:dyDescent="0.25">
      <c r="A13" s="119" t="s">
        <v>206</v>
      </c>
      <c r="B13" s="3">
        <v>1000000</v>
      </c>
    </row>
    <row r="14" spans="1:2" x14ac:dyDescent="0.25">
      <c r="A14" s="4" t="s">
        <v>207</v>
      </c>
      <c r="B14" s="3">
        <f>_xll.qlBondSinkingNotionals(B10,B11,B12,B13)</f>
        <v>1000000</v>
      </c>
    </row>
    <row r="15" spans="1:2" x14ac:dyDescent="0.25">
      <c r="A15" s="4" t="s">
        <v>207</v>
      </c>
      <c r="B15" s="120" t="s">
        <v>208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workbookViewId="0">
      <pane xSplit="1" ySplit="18" topLeftCell="B19" activePane="bottomRight" state="frozen"/>
      <selection pane="topRight" activeCell="B1" sqref="B1"/>
      <selection pane="bottomLeft" activeCell="A19" sqref="A19"/>
      <selection pane="bottomRight" activeCell="B2" sqref="B2"/>
    </sheetView>
  </sheetViews>
  <sheetFormatPr baseColWidth="10" defaultColWidth="11.5703125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45659</v>
      </c>
      <c r="E1" s="8"/>
    </row>
    <row r="2" spans="1:5" x14ac:dyDescent="0.25">
      <c r="A2" t="s">
        <v>13</v>
      </c>
      <c r="B2" s="2">
        <f>_xll.qlSettingsSetEvaluationDate(B1)</f>
        <v>45659</v>
      </c>
    </row>
    <row r="3" spans="1:5" x14ac:dyDescent="0.25">
      <c r="B3" s="2"/>
    </row>
    <row r="4" spans="1:5" x14ac:dyDescent="0.25">
      <c r="A4" s="5" t="s">
        <v>42</v>
      </c>
      <c r="B4" s="6" t="s">
        <v>43</v>
      </c>
      <c r="C4" s="6"/>
    </row>
    <row r="5" spans="1:5" x14ac:dyDescent="0.25">
      <c r="A5" s="5" t="s">
        <v>44</v>
      </c>
      <c r="B5" s="11">
        <v>45665</v>
      </c>
      <c r="C5" s="6"/>
    </row>
    <row r="6" spans="1:5" x14ac:dyDescent="0.25">
      <c r="A6" s="5" t="s">
        <v>45</v>
      </c>
      <c r="B6" s="11">
        <f>_xll.qlCalendarAdvance(B4,B5,"10y","following")</f>
        <v>49317</v>
      </c>
      <c r="C6" s="6"/>
    </row>
    <row r="7" spans="1:5" x14ac:dyDescent="0.25">
      <c r="A7" s="5" t="s">
        <v>46</v>
      </c>
      <c r="B7" s="6" t="s">
        <v>52</v>
      </c>
      <c r="C7" s="6"/>
    </row>
    <row r="8" spans="1:5" x14ac:dyDescent="0.25">
      <c r="A8" s="5" t="s">
        <v>47</v>
      </c>
      <c r="B8" s="6" t="s">
        <v>53</v>
      </c>
      <c r="C8" s="6"/>
    </row>
    <row r="9" spans="1:5" x14ac:dyDescent="0.25">
      <c r="A9" s="5" t="s">
        <v>48</v>
      </c>
      <c r="B9" s="6" t="s">
        <v>149</v>
      </c>
      <c r="C9" s="6"/>
    </row>
    <row r="10" spans="1:5" x14ac:dyDescent="0.25">
      <c r="A10" s="5" t="s">
        <v>49</v>
      </c>
      <c r="B10" s="6" t="str">
        <f>_xll.qlMakeSchedule(B5,B6, "12M","annual",B4,B8,B8,"Forward",0)</f>
        <v>欣[test_bonds.xlsx]Bond!R10C2Schedule,A</v>
      </c>
      <c r="C10" s="6"/>
    </row>
    <row r="11" spans="1:5" x14ac:dyDescent="0.25">
      <c r="A11" s="5"/>
      <c r="B11" s="6">
        <v>103</v>
      </c>
      <c r="C11" s="6">
        <v>0.03</v>
      </c>
    </row>
    <row r="12" spans="1:5" x14ac:dyDescent="0.25">
      <c r="A12" s="5"/>
      <c r="B12" s="6">
        <v>103</v>
      </c>
      <c r="C12" s="6">
        <v>0.02</v>
      </c>
    </row>
    <row r="13" spans="1:5" x14ac:dyDescent="0.25">
      <c r="A13" s="5"/>
      <c r="B13" s="6">
        <v>103</v>
      </c>
      <c r="C13" s="6"/>
    </row>
    <row r="14" spans="1:5" x14ac:dyDescent="0.25">
      <c r="A14" s="5"/>
      <c r="B14" s="6">
        <v>103</v>
      </c>
      <c r="C14" s="6"/>
    </row>
    <row r="15" spans="1:5" x14ac:dyDescent="0.25">
      <c r="A15" s="5"/>
      <c r="B15" s="6">
        <v>102</v>
      </c>
      <c r="C15" s="6"/>
    </row>
    <row r="16" spans="1:5" x14ac:dyDescent="0.25">
      <c r="A16" s="5"/>
      <c r="B16" s="6">
        <v>102</v>
      </c>
      <c r="C16" s="6"/>
    </row>
    <row r="17" spans="1:3" x14ac:dyDescent="0.25">
      <c r="A17" s="5"/>
      <c r="B17" s="6">
        <v>102</v>
      </c>
      <c r="C17" s="6"/>
    </row>
    <row r="18" spans="1:3" x14ac:dyDescent="0.25">
      <c r="A18" s="5"/>
      <c r="B18" s="6">
        <v>102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50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7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45663</v>
      </c>
      <c r="C31" s="2">
        <f>_xll.qlBondSettlementDate(C25)</f>
        <v>45663</v>
      </c>
    </row>
    <row r="32" spans="1:3" x14ac:dyDescent="0.25">
      <c r="A32" s="7" t="s">
        <v>26</v>
      </c>
      <c r="B32" s="3" t="b">
        <f>_xll.qlBondIsTradable(B25)</f>
        <v>1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7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57</v>
      </c>
      <c r="B37" s="3" t="str">
        <f>_xll.qlBondRedemption(B25)</f>
        <v>欣[test_bonds.xlsx]Bond!R37C2CashFlow,A</v>
      </c>
      <c r="C37" s="3" t="str">
        <f>_xll.qlBondRedemption(C25)</f>
        <v>欣[test_bonds.xlsx]Bond!R37C3CashFlow,A</v>
      </c>
    </row>
    <row r="38" spans="1:3" x14ac:dyDescent="0.25">
      <c r="A38" s="4" t="s">
        <v>58</v>
      </c>
      <c r="B38" s="3" t="str">
        <f>_xll.qlBondRedemptions(B25)</f>
        <v>欣[test_bonds.xlsx]Bond!R38C2CashFlow,A</v>
      </c>
      <c r="C38" s="3" t="str">
        <f>_xll.qlBondRedemptions(C25)</f>
        <v>欣[test_bonds.xlsx]Bond!R38C3CashFlow,A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7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7" t="s">
        <v>59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0" t="s">
        <v>55</v>
      </c>
      <c r="B42" s="3" t="str">
        <f>_xll.qlFlatForward(B2,0.03,"actual360","compounded","Annual")</f>
        <v>欣[test_bonds.xlsx]Bond!R42C2YieldTermStructureHandle,A</v>
      </c>
      <c r="C42" s="3" t="str">
        <f>_xll.qlFlatForward(B2,0.03,"actual360","compounded","Annual")</f>
        <v>欣[test_bonds.xlsx]Bond!R42C3YieldTermStructureHandle,A</v>
      </c>
    </row>
    <row r="43" spans="1:3" x14ac:dyDescent="0.25">
      <c r="A43" s="7" t="s">
        <v>151</v>
      </c>
      <c r="B43" s="3" t="str">
        <f>_xll.qlDiscountingBondEngine(B42)</f>
        <v>欣[test_bonds.xlsx]Bond!R43C2DiscountingBondEngine,A</v>
      </c>
      <c r="C43" s="3" t="str">
        <f>_xll.qlDiscountingBondEngine(C42)</f>
        <v>欣[test_bonds.xlsx]Bond!R43C3DiscountingBondEngine,A</v>
      </c>
    </row>
    <row r="44" spans="1:3" x14ac:dyDescent="0.25">
      <c r="A44" s="10" t="s">
        <v>152</v>
      </c>
      <c r="B44" s="3" t="b">
        <f>_xll.qlInstrumentSetPricingEngine(B25,B43)</f>
        <v>1</v>
      </c>
      <c r="C44" s="3" t="b">
        <f>_xll.qlInstrumentSetPricingEngine(C25,C43)</f>
        <v>1</v>
      </c>
    </row>
    <row r="45" spans="1:3" x14ac:dyDescent="0.25">
      <c r="A45" s="7" t="s">
        <v>33</v>
      </c>
      <c r="B45" s="9">
        <f>_xll.qlBondCleanPrice(B25,B44)</f>
        <v>2.9982762319550749</v>
      </c>
      <c r="C45" s="9">
        <f>_xll.qlBondCleanPrice(C25,C44)</f>
        <v>2.9982762319550749</v>
      </c>
    </row>
    <row r="46" spans="1:3" x14ac:dyDescent="0.25">
      <c r="A46" s="10" t="s">
        <v>56</v>
      </c>
      <c r="B46" s="9">
        <v>2.9558800538580478E-2</v>
      </c>
      <c r="C46" s="9">
        <v>2.9558800538580478E-2</v>
      </c>
    </row>
    <row r="47" spans="1:3" x14ac:dyDescent="0.25">
      <c r="A47" s="7" t="s">
        <v>34</v>
      </c>
      <c r="B47" s="9">
        <f>_xll.qlBondCleanPrice2(B25,B46,"actual360","continuous")</f>
        <v>2.9982762371603138</v>
      </c>
      <c r="C47" s="9">
        <f>_xll.qlBondCleanPrice2(C25,C46,"actual360","continuous")</f>
        <v>2.9982762371603138</v>
      </c>
    </row>
    <row r="48" spans="1:3" x14ac:dyDescent="0.25">
      <c r="A48" s="7" t="s">
        <v>35</v>
      </c>
      <c r="B48" s="9">
        <f>_xll.qlBondDirtyPrice(B25,B44)</f>
        <v>2.9982762319550749</v>
      </c>
      <c r="C48" s="9">
        <f>_xll.qlBondDirtyPrice(C25,C44)</f>
        <v>2.9982762319550749</v>
      </c>
    </row>
    <row r="49" spans="1:3" x14ac:dyDescent="0.25">
      <c r="A49" s="7" t="s">
        <v>36</v>
      </c>
      <c r="B49" s="9">
        <f>_xll.qlBondDirtyPrice2(B25,B46,"actual360","CONTINUOUS","annual")</f>
        <v>2.9982762371603138</v>
      </c>
      <c r="C49" s="9">
        <f>_xll.qlBondDirtyPrice2(C25,C46,"actual360","CONTINUOUS","annual")</f>
        <v>2.9982762371603138</v>
      </c>
    </row>
    <row r="50" spans="1:3" x14ac:dyDescent="0.25">
      <c r="A50" s="7" t="s">
        <v>37</v>
      </c>
      <c r="B50" s="9">
        <f>_xll.qlBondYield(B25,"actual360","CONTINUOUS","annual",,,B44)</f>
        <v>2.9558799531199026E-2</v>
      </c>
      <c r="C50" s="9">
        <f>_xll.qlBondYield(C25,"actual360","CONTINUOUS","annual",,,C44)</f>
        <v>2.9558799531199026E-2</v>
      </c>
    </row>
    <row r="51" spans="1:3" x14ac:dyDescent="0.25">
      <c r="A51" s="10" t="s">
        <v>120</v>
      </c>
      <c r="B51" s="9" t="str">
        <f>_xll.qlBondPrice(B45,"clean")</f>
        <v>欣[test_bonds.xlsx]Bond!R51C2BondPrice,A</v>
      </c>
      <c r="C51" s="9" t="str">
        <f>_xll.qlBondPrice(C45,"clean")</f>
        <v>欣[test_bonds.xlsx]Bond!R51C3BondPrice,A</v>
      </c>
    </row>
    <row r="52" spans="1:3" x14ac:dyDescent="0.25">
      <c r="A52" s="7" t="s">
        <v>38</v>
      </c>
      <c r="B52" s="9">
        <f>_xll.qlBondYield2(B25,B51,"actual360","CONTINUOUS","annual")</f>
        <v>2.9558799531199026E-2</v>
      </c>
      <c r="C52" s="9">
        <f>_xll.qlBondYield2(C25,C51,"actual360","CONTINUOUS","annual")</f>
        <v>2.9558799531199026E-2</v>
      </c>
    </row>
    <row r="53" spans="1:3" x14ac:dyDescent="0.25">
      <c r="A53" s="10" t="s">
        <v>54</v>
      </c>
      <c r="B53" s="2">
        <v>45667</v>
      </c>
      <c r="C53" s="2">
        <v>45667</v>
      </c>
    </row>
    <row r="54" spans="1:3" x14ac:dyDescent="0.25">
      <c r="A54" s="7" t="s">
        <v>39</v>
      </c>
      <c r="B54" s="9">
        <f>_xll.qlBondAccruedAmount(B25,B53)</f>
        <v>1.7166666666664776E-2</v>
      </c>
      <c r="C54" s="9">
        <f>_xll.qlBondAccruedAmount(C25,C53)</f>
        <v>1.7166666666664776E-2</v>
      </c>
    </row>
    <row r="55" spans="1:3" x14ac:dyDescent="0.25">
      <c r="A55" s="7" t="s">
        <v>40</v>
      </c>
      <c r="B55" s="9">
        <f>_xll.qlBondSettlementValue(B25,B44)</f>
        <v>2.9982762319550749</v>
      </c>
      <c r="C55" s="9">
        <f>_xll.qlBondSettlementValue(C25,C44)</f>
        <v>2.9982762319550749</v>
      </c>
    </row>
    <row r="56" spans="1:3" x14ac:dyDescent="0.25">
      <c r="A56" s="7" t="s">
        <v>41</v>
      </c>
      <c r="B56" s="9">
        <f>_xll.qlBondSettlementValue2(B25,B45)</f>
        <v>2.9982762319550749</v>
      </c>
      <c r="C56" s="9">
        <f>_xll.qlBondSettlementValue2(C25,C45)</f>
        <v>2.9982762319550749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B2"/>
    </sheetView>
  </sheetViews>
  <sheetFormatPr baseColWidth="10" defaultColWidth="11.5703125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60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61</v>
      </c>
      <c r="C8" s="3" t="s">
        <v>64</v>
      </c>
    </row>
    <row r="9" spans="1:3" x14ac:dyDescent="0.25">
      <c r="A9" t="s">
        <v>63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62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>
        <f>FIND("RuntimeError: RuntimeError: no coupon paid at cashflow date January 8th, 2036",_xll.qlBondNextCouponRate(B11))</f>
        <v>1</v>
      </c>
      <c r="C12" s="3">
        <f>FIND("RuntimeError: RuntimeError: no coupon paid at cashflow date January 8th, 2036",_xll.qlBondNextCouponRate(C11))</f>
        <v>1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7" t="s">
        <v>22</v>
      </c>
      <c r="B14" s="2">
        <f>_xll.qlBondNextCashFlowDate(B11)</f>
        <v>49682</v>
      </c>
      <c r="C14" s="2">
        <f>_xll.qlBondNextCashFlowDate(C11)</f>
        <v>49682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45663</v>
      </c>
      <c r="C17" s="2">
        <f>_xll.qlBondSettlementDate(C11)</f>
        <v>45667</v>
      </c>
    </row>
    <row r="18" spans="1:3" x14ac:dyDescent="0.25">
      <c r="A18" s="7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49682</v>
      </c>
      <c r="C19" s="2">
        <f>_xll.qlBondStartDate(C11)</f>
        <v>49682</v>
      </c>
    </row>
    <row r="20" spans="1:3" x14ac:dyDescent="0.25">
      <c r="A20" s="4" t="s">
        <v>28</v>
      </c>
      <c r="B20" s="2">
        <f>_xll.qlBondMaturityDate(B11)</f>
        <v>49682</v>
      </c>
      <c r="C20" s="2">
        <f>_xll.qlBondMaturityDate(C11)</f>
        <v>49682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7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57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58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7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7" t="s">
        <v>59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0" t="s">
        <v>55</v>
      </c>
      <c r="B28" s="3" t="str">
        <f>_xll.qlFlatForward(B2,0.03,"actual360","compounded","Annual")</f>
        <v>欣[test_bonds.xlsx]ZeroCouponBond!R28C2YieldTermStructureHandle,A</v>
      </c>
      <c r="C28" s="3" t="str">
        <f>_xll.qlFlatForward(B2,0.03,"actual360","compounded","Annual")</f>
        <v>欣[test_bonds.xlsx]ZeroCouponBond!R28C3YieldTermStructureHandle,A</v>
      </c>
    </row>
    <row r="29" spans="1:3" x14ac:dyDescent="0.25">
      <c r="A29" s="7" t="s">
        <v>151</v>
      </c>
      <c r="B29" s="3" t="str">
        <f>_xll.qlDiscountingBondEngine(B28)</f>
        <v>欣[test_bonds.xlsx]ZeroCouponBond!R29C2DiscountingBondEngine,A</v>
      </c>
      <c r="C29" s="3" t="str">
        <f>_xll.qlDiscountingBondEngine(C28)</f>
        <v>欣[test_bonds.xlsx]ZeroCouponBond!R29C3DiscountingBondEngine,A</v>
      </c>
    </row>
    <row r="30" spans="1:3" x14ac:dyDescent="0.25">
      <c r="A30" s="10" t="s">
        <v>152</v>
      </c>
      <c r="B30" s="3" t="b">
        <f>_xll.qlInstrumentSetPricingEngine(B11,B29)</f>
        <v>1</v>
      </c>
      <c r="C30" s="3" t="b">
        <f>_xll.qlInstrumentSetPricingEngine(C11,C29)</f>
        <v>1</v>
      </c>
    </row>
    <row r="31" spans="1:3" x14ac:dyDescent="0.25">
      <c r="A31" s="7" t="s">
        <v>33</v>
      </c>
      <c r="B31" s="9">
        <f>_xll.qlBondCleanPrice(B11,B30)</f>
        <v>71.893007155387124</v>
      </c>
      <c r="C31" s="9">
        <f>_xll.qlBondCleanPrice(C11,C30)</f>
        <v>86.299947522318362</v>
      </c>
    </row>
    <row r="32" spans="1:3" x14ac:dyDescent="0.25">
      <c r="A32" s="10" t="s">
        <v>56</v>
      </c>
      <c r="B32" s="9">
        <v>2.9558808088302614E-2</v>
      </c>
      <c r="C32" s="9">
        <v>2.9558808088302614E-2</v>
      </c>
    </row>
    <row r="33" spans="1:3" x14ac:dyDescent="0.25">
      <c r="A33" s="7" t="s">
        <v>34</v>
      </c>
      <c r="B33" s="9">
        <f>_xll.qlBondCleanPrice2(B11,B32,"actual360","continuous")</f>
        <v>71.893002462746765</v>
      </c>
      <c r="C33" s="9">
        <f>_xll.qlBondCleanPrice2(C11,C32,"actual360","continuous")</f>
        <v>86.299941894906539</v>
      </c>
    </row>
    <row r="34" spans="1:3" x14ac:dyDescent="0.25">
      <c r="A34" s="7" t="s">
        <v>35</v>
      </c>
      <c r="B34" s="9">
        <f>_xll.qlBondDirtyPrice(B11,B30)</f>
        <v>71.893007155387124</v>
      </c>
      <c r="C34" s="9">
        <f>_xll.qlBondDirtyPrice(C11,C30)</f>
        <v>86.299947522318362</v>
      </c>
    </row>
    <row r="35" spans="1:3" x14ac:dyDescent="0.25">
      <c r="A35" s="7" t="s">
        <v>36</v>
      </c>
      <c r="B35" s="9">
        <f>_xll.qlBondDirtyPrice2(B11,B32,"actual360","CONTINUOUS","annual")</f>
        <v>71.893002462746765</v>
      </c>
      <c r="C35" s="9">
        <f>_xll.qlBondDirtyPrice2(C11,C32,"actual360","CONTINUOUS","annual")</f>
        <v>86.299941894906539</v>
      </c>
    </row>
    <row r="36" spans="1:3" x14ac:dyDescent="0.25">
      <c r="A36" s="7" t="s">
        <v>37</v>
      </c>
      <c r="B36" s="9">
        <f>_xll.qlBondYield(B11,"actual360","CONTINUOUS","annual",,,B30)</f>
        <v>2.9558808088302614E-2</v>
      </c>
      <c r="C36" s="9">
        <f>_xll.qlBondYield(C11,"actual360","CONTINUOUS","annual",,,C30)</f>
        <v>2.9558808088302614E-2</v>
      </c>
    </row>
    <row r="37" spans="1:3" x14ac:dyDescent="0.25">
      <c r="A37" s="10" t="s">
        <v>120</v>
      </c>
      <c r="B37" s="9" t="str">
        <f>_xll.qlBondPrice(B31,"clean")</f>
        <v>欣[test_bonds.xlsx]ZeroCouponBond!R37C2BondPrice,A</v>
      </c>
      <c r="C37" s="9" t="str">
        <f>_xll.qlBondPrice(C31,"clean")</f>
        <v>欣[test_bonds.xlsx]ZeroCouponBond!R37C3BondPrice,A</v>
      </c>
    </row>
    <row r="38" spans="1:3" x14ac:dyDescent="0.25">
      <c r="A38" s="7" t="s">
        <v>38</v>
      </c>
      <c r="B38" s="9">
        <f>_xll.qlBondYield2(B11,B37,"actual360","CONTINUOUS","annual",,,,,B30)</f>
        <v>2.9558808088302614E-2</v>
      </c>
      <c r="C38" s="9">
        <f>_xll.qlBondYield2(C11,C37,"actual360","CONTINUOUS","annual",,,,,C30)</f>
        <v>2.9558808088302614E-2</v>
      </c>
    </row>
    <row r="39" spans="1:3" x14ac:dyDescent="0.25">
      <c r="A39" s="10" t="s">
        <v>54</v>
      </c>
      <c r="B39" s="2">
        <v>45667</v>
      </c>
      <c r="C39" s="2">
        <v>45667</v>
      </c>
    </row>
    <row r="40" spans="1:3" x14ac:dyDescent="0.25">
      <c r="A40" s="7" t="s">
        <v>39</v>
      </c>
      <c r="B40" s="9">
        <f>_xll.qlBondAccruedAmount(B11,B39)</f>
        <v>0</v>
      </c>
      <c r="C40" s="9">
        <f>_xll.qlBondAccruedAmount(C11,C39)</f>
        <v>0</v>
      </c>
    </row>
    <row r="41" spans="1:3" x14ac:dyDescent="0.25">
      <c r="A41" s="7" t="s">
        <v>40</v>
      </c>
      <c r="B41" s="9">
        <f>_xll.qlBondSettlementValue(B11,B30)</f>
        <v>71.893007155387124</v>
      </c>
      <c r="C41" s="9">
        <f>_xll.qlBondSettlementValue(C11,C30)</f>
        <v>86.299947522318362</v>
      </c>
    </row>
    <row r="42" spans="1:3" x14ac:dyDescent="0.25">
      <c r="A42" s="7" t="s">
        <v>41</v>
      </c>
      <c r="B42" s="9">
        <f>_xll.qlBondSettlementValue2(B11,B31)</f>
        <v>71.893007155387124</v>
      </c>
      <c r="C42" s="9">
        <f>_xll.qlBondSettlementValue2(C11,C31)</f>
        <v>86.299947522318362</v>
      </c>
    </row>
    <row r="43" spans="1:3" x14ac:dyDescent="0.25">
      <c r="A43" s="10" t="s">
        <v>154</v>
      </c>
      <c r="B43" s="9" t="str">
        <f>_xll.qlFlatForward($B$1,0.03,"actual365fixed")</f>
        <v>欣[test_bonds.xlsx]ZeroCouponBond!R43C2YieldTermStructureHandle,A</v>
      </c>
      <c r="C43" s="9" t="str">
        <f>_xll.qlFlatForward($B$1,0.03,"actual365fixed")</f>
        <v>欣[test_bonds.xlsx]ZeroCouponBond!R43C3YieldTermStructureHandle,A</v>
      </c>
    </row>
    <row r="44" spans="1:3" x14ac:dyDescent="0.25">
      <c r="A44" s="10" t="s">
        <v>163</v>
      </c>
      <c r="B44" s="9">
        <v>5.0000000000000001E-3</v>
      </c>
      <c r="C44" s="9">
        <v>5.0000000000000001E-3</v>
      </c>
    </row>
    <row r="45" spans="1:3" x14ac:dyDescent="0.25">
      <c r="A45" s="10" t="s">
        <v>165</v>
      </c>
      <c r="B45" s="9" t="s">
        <v>168</v>
      </c>
      <c r="C45" s="9" t="s">
        <v>168</v>
      </c>
    </row>
    <row r="46" spans="1:3" x14ac:dyDescent="0.25">
      <c r="A46" s="10" t="s">
        <v>164</v>
      </c>
      <c r="B46" s="9" t="s">
        <v>169</v>
      </c>
      <c r="C46" s="9" t="s">
        <v>169</v>
      </c>
    </row>
    <row r="47" spans="1:3" x14ac:dyDescent="0.25">
      <c r="A47" s="10" t="s">
        <v>166</v>
      </c>
      <c r="B47" s="9" t="s">
        <v>170</v>
      </c>
      <c r="C47" s="9" t="s">
        <v>170</v>
      </c>
    </row>
    <row r="48" spans="1:3" x14ac:dyDescent="0.25">
      <c r="A48" s="10" t="s">
        <v>167</v>
      </c>
      <c r="B48" s="9"/>
      <c r="C48" s="9"/>
    </row>
    <row r="49" spans="1:3" x14ac:dyDescent="0.25">
      <c r="A49" s="7" t="s">
        <v>162</v>
      </c>
      <c r="B49" s="3">
        <f>_xll.qlBondCleanPriceFromZSpread(B11,B43,B44,B45,B46,B47)</f>
        <v>68.138537120691339</v>
      </c>
      <c r="C49" s="3">
        <f>_xll.qlBondCleanPriceFromZSpread(C11,C43,C44,C45,C46,C47)</f>
        <v>81.797469972073358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65"/>
  <sheetViews>
    <sheetView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28" sqref="A28:B65"/>
    </sheetView>
  </sheetViews>
  <sheetFormatPr baseColWidth="10" defaultColWidth="11.5703125" defaultRowHeight="15" x14ac:dyDescent="0.25"/>
  <cols>
    <col min="1" max="1" width="43" customWidth="1"/>
    <col min="2" max="2" width="114.5703125" style="3" customWidth="1"/>
    <col min="3" max="3" width="126.42578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117" t="s">
        <v>66</v>
      </c>
      <c r="B15" s="3">
        <v>0.04</v>
      </c>
      <c r="C15" s="3">
        <v>0.04</v>
      </c>
    </row>
    <row r="16" spans="1:3" x14ac:dyDescent="0.25">
      <c r="A16" s="117"/>
      <c r="B16" s="3">
        <v>0.05</v>
      </c>
      <c r="C16" s="3">
        <v>0.05</v>
      </c>
    </row>
    <row r="17" spans="1:3" x14ac:dyDescent="0.25">
      <c r="A17" s="117"/>
      <c r="B17" s="3">
        <v>0.06</v>
      </c>
      <c r="C17" s="3">
        <v>0.06</v>
      </c>
    </row>
    <row r="18" spans="1:3" x14ac:dyDescent="0.25">
      <c r="A18" t="s">
        <v>67</v>
      </c>
      <c r="B18" s="3" t="s">
        <v>149</v>
      </c>
      <c r="C18" s="3" t="s">
        <v>149</v>
      </c>
    </row>
    <row r="19" spans="1:3" x14ac:dyDescent="0.25">
      <c r="A19" t="s">
        <v>61</v>
      </c>
      <c r="C19" s="3" t="s">
        <v>81</v>
      </c>
    </row>
    <row r="20" spans="1:3" x14ac:dyDescent="0.25">
      <c r="A20" t="s">
        <v>63</v>
      </c>
      <c r="C20" s="3">
        <v>100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68</v>
      </c>
      <c r="C22" s="3" t="str">
        <f>_xll.qlCalendar("TARGET")</f>
        <v>TARGET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 t="b">
        <v>0</v>
      </c>
    </row>
    <row r="27" spans="1:3" x14ac:dyDescent="0.25">
      <c r="A27" s="4" t="s">
        <v>80</v>
      </c>
      <c r="B27" s="3" t="str">
        <f>_xll.qlFixedRateBond(B4,B5,B14,B15:B17,B18,,,,,,,,)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0.04</v>
      </c>
      <c r="C28" s="3">
        <f>_xll.qlBondNextCouponRate(C27)</f>
        <v>0.04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7" t="s">
        <v>22</v>
      </c>
      <c r="B30" s="2">
        <f>_xll.qlBondNextCashFlowDate(B27)</f>
        <v>46030</v>
      </c>
      <c r="C30" s="2">
        <f>_xll.qlBondNextCashFlowDate(C27)</f>
        <v>46030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45659</v>
      </c>
      <c r="C33" s="2">
        <f>_xll.qlBondSettlementDate(C27)</f>
        <v>45663</v>
      </c>
    </row>
    <row r="34" spans="1:3" x14ac:dyDescent="0.25">
      <c r="A34" s="7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49682</v>
      </c>
      <c r="C36" s="2">
        <f>_xll.qlBondMaturityDate(C27)</f>
        <v>49682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7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57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58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TARGET</v>
      </c>
      <c r="C41" s="3" t="str">
        <f>_xll.qlBondCalendar(C27)</f>
        <v>TARGET</v>
      </c>
    </row>
    <row r="42" spans="1:3" x14ac:dyDescent="0.25">
      <c r="A42" s="7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7" t="s">
        <v>59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0" t="s">
        <v>55</v>
      </c>
      <c r="B44" s="3" t="str">
        <f>_xll.qlFlatForward(B2,0.03,"actual360","compounded","Annual")</f>
        <v>欣[test_bonds.xlsx]FixedRateBond!R44C2YieldTermStructureHandle,A</v>
      </c>
      <c r="C44" s="3" t="str">
        <f>_xll.qlFlatForward(B2,0.03,"actual360","compounded","Annual")</f>
        <v>欣[test_bonds.xlsx]FixedRateBond!R44C3YieldTermStructureHandle,A</v>
      </c>
    </row>
    <row r="45" spans="1:3" x14ac:dyDescent="0.25">
      <c r="A45" s="7" t="s">
        <v>151</v>
      </c>
      <c r="B45" s="3" t="str">
        <f>_xll.qlDiscountingBondEngine(B44)</f>
        <v>欣[test_bonds.xlsx]FixedRateBond!R45C2DiscountingBondEngine,A</v>
      </c>
      <c r="C45" s="3" t="str">
        <f>_xll.qlDiscountingBondEngine(C44)</f>
        <v>欣[test_bonds.xlsx]FixedRateBond!R45C3DiscountingBondEngine,A</v>
      </c>
    </row>
    <row r="46" spans="1:3" x14ac:dyDescent="0.25">
      <c r="A46" s="10" t="s">
        <v>152</v>
      </c>
      <c r="B46" s="3" t="b">
        <f>_xll.qlInstrumentSetPricingEngine(B27,B45)</f>
        <v>1</v>
      </c>
      <c r="C46" s="3" t="b">
        <f>_xll.qlInstrumentSetPricingEngine(C27,C45)</f>
        <v>1</v>
      </c>
    </row>
    <row r="47" spans="1:3" x14ac:dyDescent="0.25">
      <c r="A47" s="7" t="s">
        <v>33</v>
      </c>
      <c r="B47" s="9">
        <f>_xll.qlBondCleanPrice(B27,B46)</f>
        <v>124.34000059920736</v>
      </c>
      <c r="C47" s="9">
        <f>_xll.qlBondCleanPrice(C27,C46)</f>
        <v>124.38084443368287</v>
      </c>
    </row>
    <row r="48" spans="1:3" x14ac:dyDescent="0.25">
      <c r="A48" s="10" t="s">
        <v>56</v>
      </c>
      <c r="B48" s="9">
        <v>2.9558808088302614E-2</v>
      </c>
      <c r="C48" s="9">
        <v>2.9558808088302614E-2</v>
      </c>
    </row>
    <row r="49" spans="1:3" x14ac:dyDescent="0.25">
      <c r="A49" s="7" t="s">
        <v>34</v>
      </c>
      <c r="B49" s="9">
        <f>_xll.qlBondCleanPrice2(B27,B48,"actual360","continuous")</f>
        <v>124.33999404914331</v>
      </c>
      <c r="C49" s="9">
        <f>_xll.qlBondCleanPrice2(C27,C48,"actual360","continuous")</f>
        <v>124.38083788954749</v>
      </c>
    </row>
    <row r="50" spans="1:3" x14ac:dyDescent="0.25">
      <c r="A50" s="7" t="s">
        <v>35</v>
      </c>
      <c r="B50" s="9">
        <f>_xll.qlBondDirtyPrice(B27,B46)</f>
        <v>124.34000059920736</v>
      </c>
      <c r="C50" s="9">
        <f>_xll.qlBondDirtyPrice(C27,C46)</f>
        <v>124.38084443368287</v>
      </c>
    </row>
    <row r="51" spans="1:3" x14ac:dyDescent="0.25">
      <c r="A51" s="7" t="s">
        <v>36</v>
      </c>
      <c r="B51" s="9">
        <f>_xll.qlBondDirtyPrice2(B27,B48,"actual360","CONTINUOUS","annual")</f>
        <v>124.33999404914331</v>
      </c>
      <c r="C51" s="9">
        <f>_xll.qlBondDirtyPrice2(C27,C48,"actual360","CONTINUOUS","annual")</f>
        <v>124.38083788954749</v>
      </c>
    </row>
    <row r="52" spans="1:3" x14ac:dyDescent="0.25">
      <c r="A52" s="7" t="s">
        <v>37</v>
      </c>
      <c r="B52" s="9">
        <f>_xll.qlBondYield(B27,"actual360","CONTINUOUS","annual",,,B46)</f>
        <v>2.9558808088302614E-2</v>
      </c>
      <c r="C52" s="9">
        <f>_xll.qlBondYield(C27,"actual360","CONTINUOUS","annual",,,C46)</f>
        <v>2.9558808088302614E-2</v>
      </c>
    </row>
    <row r="53" spans="1:3" x14ac:dyDescent="0.25">
      <c r="A53" s="10" t="s">
        <v>120</v>
      </c>
      <c r="B53" s="9" t="str">
        <f>_xll.qlBondPrice(B47,"clean")</f>
        <v>欣[test_bonds.xlsx]FixedRateBond!R53C2BondPrice,A</v>
      </c>
      <c r="C53" s="9" t="str">
        <f>_xll.qlBondPrice(C47,"clean")</f>
        <v>欣[test_bonds.xlsx]FixedRateBond!R53C3BondPrice,A</v>
      </c>
    </row>
    <row r="54" spans="1:3" x14ac:dyDescent="0.25">
      <c r="A54" s="7" t="s">
        <v>38</v>
      </c>
      <c r="B54" s="9">
        <f>_xll.qlBondYield2(B27,B53,"actual360","CONTINUOUS","annual")</f>
        <v>2.9558808088302614E-2</v>
      </c>
      <c r="C54" s="9">
        <f>_xll.qlBondYield2(C27,C53,"actual360","CONTINUOUS","annual")</f>
        <v>2.9558808088302614E-2</v>
      </c>
    </row>
    <row r="55" spans="1:3" x14ac:dyDescent="0.25">
      <c r="A55" s="10" t="s">
        <v>54</v>
      </c>
      <c r="B55" s="2">
        <v>45667</v>
      </c>
      <c r="C55" s="2">
        <v>45667</v>
      </c>
    </row>
    <row r="56" spans="1:3" x14ac:dyDescent="0.25">
      <c r="A56" s="7" t="s">
        <v>39</v>
      </c>
      <c r="B56" s="9">
        <f>_xll.qlBondAccruedAmount(B27,B55)</f>
        <v>2.2222222222212373E-2</v>
      </c>
      <c r="C56" s="9">
        <f>_xll.qlBondAccruedAmount(C27,C55)</f>
        <v>2.2222222222212373E-2</v>
      </c>
    </row>
    <row r="57" spans="1:3" x14ac:dyDescent="0.25">
      <c r="A57" s="7" t="s">
        <v>40</v>
      </c>
      <c r="B57" s="9">
        <f>_xll.qlBondSettlementValue(B27,B46)</f>
        <v>124.34000059920736</v>
      </c>
      <c r="C57" s="9">
        <f>_xll.qlBondSettlementValue(C27,C46)</f>
        <v>124.38084443368287</v>
      </c>
    </row>
    <row r="58" spans="1:3" x14ac:dyDescent="0.25">
      <c r="A58" s="7" t="s">
        <v>41</v>
      </c>
      <c r="B58" s="9">
        <f>_xll.qlBondSettlementValue2(B27,B47)</f>
        <v>124.34000059920736</v>
      </c>
      <c r="C58" s="9">
        <f>_xll.qlBondSettlementValue2(C27,C47)</f>
        <v>124.38084443368287</v>
      </c>
    </row>
    <row r="59" spans="1:3" x14ac:dyDescent="0.25">
      <c r="A59" s="10" t="s">
        <v>154</v>
      </c>
      <c r="B59" s="9" t="str">
        <f>_xll.qlFlatForward($B$1,0.03,"actual365fixed")</f>
        <v>欣[test_bonds.xlsx]FixedRateBond!R59C2YieldTermStructureHandle,A</v>
      </c>
      <c r="C59" s="9" t="str">
        <f>_xll.qlFlatForward($B$1,0.03,"actual365fixed")</f>
        <v>欣[test_bonds.xlsx]FixedRateBond!R59C3YieldTermStructureHandle,A</v>
      </c>
    </row>
    <row r="60" spans="1:3" x14ac:dyDescent="0.25">
      <c r="A60" s="10" t="s">
        <v>163</v>
      </c>
      <c r="B60" s="9">
        <v>5.0000000000000001E-3</v>
      </c>
      <c r="C60" s="9">
        <v>5.0000000000000001E-3</v>
      </c>
    </row>
    <row r="61" spans="1:3" x14ac:dyDescent="0.25">
      <c r="A61" s="10" t="s">
        <v>165</v>
      </c>
      <c r="B61" s="9" t="s">
        <v>168</v>
      </c>
      <c r="C61" s="9" t="s">
        <v>168</v>
      </c>
    </row>
    <row r="62" spans="1:3" x14ac:dyDescent="0.25">
      <c r="A62" s="10" t="s">
        <v>164</v>
      </c>
      <c r="B62" s="9" t="s">
        <v>169</v>
      </c>
      <c r="C62" s="9" t="s">
        <v>169</v>
      </c>
    </row>
    <row r="63" spans="1:3" x14ac:dyDescent="0.25">
      <c r="A63" s="10" t="s">
        <v>166</v>
      </c>
      <c r="B63" s="9" t="s">
        <v>170</v>
      </c>
      <c r="C63" s="9" t="s">
        <v>170</v>
      </c>
    </row>
    <row r="64" spans="1:3" x14ac:dyDescent="0.25">
      <c r="A64" s="10" t="s">
        <v>167</v>
      </c>
      <c r="B64" s="9"/>
      <c r="C64" s="9"/>
    </row>
    <row r="65" spans="1:3" x14ac:dyDescent="0.25">
      <c r="A65" s="7" t="s">
        <v>162</v>
      </c>
      <c r="B65" s="3">
        <f>_xll.qlBondCleanPriceFromZSpread(B27,B59,B60,B61,B62,B63)</f>
        <v>119.08699120029004</v>
      </c>
      <c r="C65" s="3">
        <f>_xll.qlBondCleanPriceFromZSpread(C27,C59,C60,C61,C62,C63)</f>
        <v>119.13246891789954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7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82</v>
      </c>
      <c r="B5" s="3">
        <v>150</v>
      </c>
      <c r="C5" s="3">
        <v>150</v>
      </c>
    </row>
    <row r="6" spans="1:3" x14ac:dyDescent="0.25">
      <c r="A6" s="117"/>
      <c r="B6" s="3">
        <v>125</v>
      </c>
      <c r="C6" s="3">
        <v>125</v>
      </c>
    </row>
    <row r="7" spans="1:3" x14ac:dyDescent="0.25">
      <c r="A7" s="117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117" t="s">
        <v>66</v>
      </c>
      <c r="B17" s="3">
        <v>0.04</v>
      </c>
      <c r="C17" s="3">
        <v>0.04</v>
      </c>
    </row>
    <row r="18" spans="1:3" x14ac:dyDescent="0.25">
      <c r="A18" s="117"/>
      <c r="B18" s="3">
        <v>0.05</v>
      </c>
      <c r="C18" s="3">
        <v>0.05</v>
      </c>
    </row>
    <row r="19" spans="1:3" x14ac:dyDescent="0.25">
      <c r="A19" s="117"/>
      <c r="B19" s="3">
        <v>0.06</v>
      </c>
      <c r="C19" s="3">
        <v>0.06</v>
      </c>
    </row>
    <row r="20" spans="1:3" x14ac:dyDescent="0.25">
      <c r="A20" t="s">
        <v>83</v>
      </c>
      <c r="B20" s="3" t="s">
        <v>149</v>
      </c>
      <c r="C20" s="3" t="s">
        <v>149</v>
      </c>
    </row>
    <row r="21" spans="1:3" x14ac:dyDescent="0.25">
      <c r="A21" t="s">
        <v>84</v>
      </c>
      <c r="C21" s="3" t="s">
        <v>86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>
        <v>0</v>
      </c>
    </row>
    <row r="27" spans="1:3" x14ac:dyDescent="0.25">
      <c r="A27" s="117" t="s">
        <v>87</v>
      </c>
      <c r="C27" s="3">
        <v>110</v>
      </c>
    </row>
    <row r="28" spans="1:3" x14ac:dyDescent="0.25">
      <c r="A28" s="117"/>
      <c r="C28" s="3">
        <v>110</v>
      </c>
    </row>
    <row r="29" spans="1:3" x14ac:dyDescent="0.25">
      <c r="A29" s="117"/>
      <c r="C29" s="3">
        <v>110</v>
      </c>
    </row>
    <row r="30" spans="1:3" x14ac:dyDescent="0.25">
      <c r="A30" s="4" t="s">
        <v>85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0.04</v>
      </c>
      <c r="C31" s="3">
        <f>_xll.qlBondNextCouponRate(C30)</f>
        <v>0.04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45663</v>
      </c>
      <c r="C36" s="2">
        <f>_xll.qlBondSettlementDate(C30)</f>
        <v>45663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3">
        <f>_xll.qlBondIssueDate(B30)</f>
        <v>0</v>
      </c>
      <c r="C40" s="2">
        <f>_xll.qlBondIssueDate(C30)</f>
        <v>45663</v>
      </c>
    </row>
    <row r="41" spans="1:3" x14ac:dyDescent="0.25">
      <c r="A41" s="7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57</v>
      </c>
      <c r="B42" s="3">
        <f>FIND("RuntimeError: RuntimeError: multiple redemption cash flows given",_xll.qlBondRedemption(B30))</f>
        <v>1</v>
      </c>
      <c r="C42" s="3">
        <f>FIND("RuntimeError: RuntimeError: multiple redemption cash flows given",_xll.qlBondRedemption(C30))</f>
        <v>1</v>
      </c>
    </row>
    <row r="43" spans="1:3" x14ac:dyDescent="0.25">
      <c r="A43" s="4" t="s">
        <v>58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7" t="s">
        <v>59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0" t="s">
        <v>55</v>
      </c>
      <c r="B47" s="3" t="str">
        <f>_xll.qlFlatForward(B2,0.03,"actual360","compounded","Annual")</f>
        <v>欣[test_bonds.xlsx]AmortizingFixedRateBond!R47C2YieldTermStructureHandle,A</v>
      </c>
      <c r="C47" s="3" t="str">
        <f>_xll.qlFlatForward(B2,0.03,"actual360","compounded","Annual")</f>
        <v>欣[test_bonds.xlsx]AmortizingFixedRateBond!R47C3YieldTermStructureHandle,A</v>
      </c>
    </row>
    <row r="48" spans="1:3" x14ac:dyDescent="0.25">
      <c r="A48" s="7" t="s">
        <v>151</v>
      </c>
      <c r="B48" s="3" t="str">
        <f>_xll.qlDiscountingBondEngine(B47)</f>
        <v>欣[test_bonds.xlsx]AmortizingFixedRateBond!R48C2DiscountingBondEngine,A</v>
      </c>
      <c r="C48" s="3" t="str">
        <f>_xll.qlDiscountingBondEngine(C47)</f>
        <v>欣[test_bonds.xlsx]AmortizingFixedRateBond!R48C3DiscountingBondEngine,A</v>
      </c>
    </row>
    <row r="49" spans="1:3" x14ac:dyDescent="0.25">
      <c r="A49" s="10" t="s">
        <v>152</v>
      </c>
      <c r="B49" s="3" t="b">
        <f>_xll.qlInstrumentSetPricingEngine(B30,B48)</f>
        <v>1</v>
      </c>
      <c r="C49" s="3" t="b">
        <f>_xll.qlInstrumentSetPricingEngine(C30,C48)</f>
        <v>1</v>
      </c>
    </row>
    <row r="50" spans="1:3" x14ac:dyDescent="0.25">
      <c r="A50" s="7" t="s">
        <v>33</v>
      </c>
      <c r="B50" s="9">
        <f>_xll.qlBondCleanPrice(B30,B49)</f>
        <v>116.86543332111933</v>
      </c>
      <c r="C50" s="9">
        <f>_xll.qlBondCleanPrice(C30,C49)</f>
        <v>124.84630729008698</v>
      </c>
    </row>
    <row r="51" spans="1:3" x14ac:dyDescent="0.25">
      <c r="A51" s="10" t="s">
        <v>56</v>
      </c>
      <c r="B51" s="9">
        <v>2.9586706781387334E-2</v>
      </c>
      <c r="C51" s="9">
        <v>2.9586706781387334E-2</v>
      </c>
    </row>
    <row r="52" spans="1:3" x14ac:dyDescent="0.25">
      <c r="A52" s="7" t="s">
        <v>34</v>
      </c>
      <c r="B52" s="9">
        <f>_xll.qlBondCleanPrice2(B30,B51,"actual360","continuous")</f>
        <v>116.84318252273343</v>
      </c>
      <c r="C52" s="9">
        <f>_xll.qlBondCleanPrice2(C30,C51,"actual360","continuous")</f>
        <v>124.82242964321487</v>
      </c>
    </row>
    <row r="53" spans="1:3" x14ac:dyDescent="0.25">
      <c r="A53" s="7" t="s">
        <v>35</v>
      </c>
      <c r="B53" s="9">
        <f>_xll.qlBondDirtyPrice(B30,B49)</f>
        <v>116.86543332111933</v>
      </c>
      <c r="C53" s="9">
        <f>_xll.qlBondDirtyPrice(C30,C49)</f>
        <v>124.84630729008698</v>
      </c>
    </row>
    <row r="54" spans="1:3" x14ac:dyDescent="0.25">
      <c r="A54" s="7" t="s">
        <v>36</v>
      </c>
      <c r="B54" s="9">
        <f>_xll.qlBondDirtyPrice2(B30,B51,"actual360","CONTINUOUS","annual")</f>
        <v>116.84318252273343</v>
      </c>
      <c r="C54" s="9">
        <f>_xll.qlBondDirtyPrice2(C30,C51,"actual360","CONTINUOUS","annual")</f>
        <v>124.82242964321487</v>
      </c>
    </row>
    <row r="55" spans="1:3" x14ac:dyDescent="0.25">
      <c r="A55" s="7" t="s">
        <v>37</v>
      </c>
      <c r="B55" s="9">
        <f>_xll.qlBondYield(B30,"actual360","CONTINUOUS","annual",,,B49)</f>
        <v>2.9558808088302614E-2</v>
      </c>
      <c r="C55" s="9">
        <f>_xll.qlBondYield(C30,"actual360","CONTINUOUS","annual",,,C49)</f>
        <v>2.9558808088302614E-2</v>
      </c>
    </row>
    <row r="56" spans="1:3" x14ac:dyDescent="0.25">
      <c r="A56" s="10" t="s">
        <v>120</v>
      </c>
      <c r="B56" s="9" t="str">
        <f>_xll.qlBondPrice(B50,"clean")</f>
        <v>欣[test_bonds.xlsx]AmortizingFixedRateBond!R56C2BondPrice,A</v>
      </c>
      <c r="C56" s="9" t="str">
        <f>_xll.qlBondPrice(C50,"clean")</f>
        <v>欣[test_bonds.xlsx]AmortizingFixedRateBond!R56C3BondPrice,A</v>
      </c>
    </row>
    <row r="57" spans="1:3" x14ac:dyDescent="0.25">
      <c r="A57" s="7" t="s">
        <v>38</v>
      </c>
      <c r="B57" s="9">
        <f>_xll.qlBondYield2(B30,B56,"actual360","CONTINUOUS","annual")</f>
        <v>2.9558808088302614E-2</v>
      </c>
      <c r="C57" s="9">
        <f>_xll.qlBondYield2(C30,C56,"actual360","CONTINUOUS","annual")</f>
        <v>2.9558808088302614E-2</v>
      </c>
    </row>
    <row r="58" spans="1:3" x14ac:dyDescent="0.25">
      <c r="A58" s="10" t="s">
        <v>54</v>
      </c>
      <c r="B58" s="2">
        <v>45667</v>
      </c>
      <c r="C58" s="2">
        <v>45667</v>
      </c>
    </row>
    <row r="59" spans="1:3" x14ac:dyDescent="0.25">
      <c r="A59" s="7" t="s">
        <v>39</v>
      </c>
      <c r="B59" s="9">
        <f>_xll.qlBondAccruedAmount(B30,B58)</f>
        <v>2.2222222222212373E-2</v>
      </c>
      <c r="C59" s="9">
        <f>_xll.qlBondAccruedAmount(C30,C58)</f>
        <v>2.2222222222212373E-2</v>
      </c>
    </row>
    <row r="60" spans="1:3" x14ac:dyDescent="0.25">
      <c r="A60" s="7" t="s">
        <v>40</v>
      </c>
      <c r="B60" s="9">
        <f>_xll.qlBondSettlementValue(B30,B49)</f>
        <v>175.29814998167899</v>
      </c>
      <c r="C60" s="9">
        <f>_xll.qlBondSettlementValue(C30,C49)</f>
        <v>187.26946093513047</v>
      </c>
    </row>
    <row r="61" spans="1:3" x14ac:dyDescent="0.25">
      <c r="A61" s="7" t="s">
        <v>41</v>
      </c>
      <c r="B61" s="9">
        <f>_xll.qlBondSettlementValue2(B30,B50)</f>
        <v>175.29814998167896</v>
      </c>
      <c r="C61" s="9">
        <f>_xll.qlBondSettlementValue2(C30,C50)</f>
        <v>187.2694609351305</v>
      </c>
    </row>
    <row r="62" spans="1:3" x14ac:dyDescent="0.25">
      <c r="A62" s="10" t="s">
        <v>154</v>
      </c>
      <c r="B62" s="9" t="str">
        <f>_xll.qlFlatForward($B$1,0.03,"actual365fixed")</f>
        <v>欣[test_bonds.xlsx]AmortizingFixedRateBond!R62C2YieldTermStructureHandle,A</v>
      </c>
      <c r="C62" s="9" t="str">
        <f>_xll.qlFlatForward($B$1,0.03,"actual365fixed")</f>
        <v>欣[test_bonds.xlsx]AmortizingFixedRateBond!R62C3YieldTermStructureHandle,A</v>
      </c>
    </row>
    <row r="63" spans="1:3" x14ac:dyDescent="0.25">
      <c r="A63" s="10" t="s">
        <v>163</v>
      </c>
      <c r="B63" s="9">
        <v>5.0000000000000001E-3</v>
      </c>
      <c r="C63" s="9">
        <v>5.0000000000000001E-3</v>
      </c>
    </row>
    <row r="64" spans="1:3" x14ac:dyDescent="0.25">
      <c r="A64" s="10" t="s">
        <v>165</v>
      </c>
      <c r="B64" s="9" t="s">
        <v>168</v>
      </c>
      <c r="C64" s="9" t="s">
        <v>168</v>
      </c>
    </row>
    <row r="65" spans="1:3" x14ac:dyDescent="0.25">
      <c r="A65" s="10" t="s">
        <v>164</v>
      </c>
      <c r="B65" s="9" t="s">
        <v>169</v>
      </c>
      <c r="C65" s="9" t="s">
        <v>169</v>
      </c>
    </row>
    <row r="66" spans="1:3" x14ac:dyDescent="0.25">
      <c r="A66" s="10" t="s">
        <v>166</v>
      </c>
      <c r="B66" s="9" t="s">
        <v>170</v>
      </c>
      <c r="C66" s="9" t="s">
        <v>170</v>
      </c>
    </row>
    <row r="67" spans="1:3" x14ac:dyDescent="0.25">
      <c r="A67" s="10" t="s">
        <v>167</v>
      </c>
      <c r="B67" s="9"/>
      <c r="C67" s="9"/>
    </row>
    <row r="68" spans="1:3" x14ac:dyDescent="0.25">
      <c r="A68" s="7" t="s">
        <v>162</v>
      </c>
      <c r="B68" s="3">
        <f>_xll.qlBondCleanPriceFromZSpread(B30,B62,B63,B64,B65,B66)</f>
        <v>113.12097995518857</v>
      </c>
      <c r="C68" s="3">
        <f>_xll.qlBondCleanPriceFromZSpread(C30,C62,C63,C64,C65,C66)</f>
        <v>120.82857387849862</v>
      </c>
    </row>
    <row r="69" spans="1:3" x14ac:dyDescent="0.25">
      <c r="A69" s="10" t="s">
        <v>154</v>
      </c>
      <c r="B69" s="9" t="str">
        <f>_xll.qlFlatForward($B$1,0.03,"actual365fixed")</f>
        <v>欣[test_bonds.xlsx]AmortizingFixedRateBond!R69C2YieldTermStructureHandle,A</v>
      </c>
      <c r="C69" s="9" t="str">
        <f>_xll.qlFlatForward($B$1,0.03,"actual365fixed")</f>
        <v>欣[test_bonds.xlsx]AmortizingFixedRateBond!R69C3YieldTermStructureHandle,A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_xll.qlBondCleanPriceFromZSpread(B30,B69,B70,B71,B72,B73)</f>
        <v>113.12097995518857</v>
      </c>
      <c r="C75" s="3">
        <f>_xll.qlBondCleanPriceFromZSpread(C30,C69,C70,C71,C72,C73)</f>
        <v>120.82857387849862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72"/>
  <sheetViews>
    <sheetView workbookViewId="0">
      <pane xSplit="1" ySplit="3" topLeftCell="B43" activePane="bottomRight" state="frozen"/>
      <selection pane="topRight" activeCell="B1" sqref="B1"/>
      <selection pane="bottomLeft" activeCell="A4" sqref="A4"/>
      <selection pane="bottomRight" activeCell="A66" sqref="A66:B72"/>
    </sheetView>
  </sheetViews>
  <sheetFormatPr baseColWidth="10" defaultColWidth="11.5703125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88</v>
      </c>
      <c r="B5" s="3">
        <v>150</v>
      </c>
      <c r="C5" s="3">
        <v>150</v>
      </c>
    </row>
    <row r="6" spans="1:3" x14ac:dyDescent="0.25">
      <c r="A6" s="117"/>
      <c r="B6" s="3">
        <v>125</v>
      </c>
      <c r="C6" s="3">
        <v>125</v>
      </c>
    </row>
    <row r="7" spans="1:3" x14ac:dyDescent="0.25">
      <c r="A7" s="117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3" t="s">
        <v>55</v>
      </c>
      <c r="B17" s="14" t="str">
        <f>_xll.qlFlatForward(B2,0.03,"actual360","compounded","Quarterly")</f>
        <v>欣[test_bonds.xlsx]AmortizingFloatingRateBond!R17C2YieldTermStructureHandle,A</v>
      </c>
      <c r="C17" s="14" t="str">
        <f>_xll.qlFlatForward(B2,0.03,"actual360","compounded","Quarterly")</f>
        <v>欣[test_bonds.xlsx]AmortizingFloatingRateBond!R17C3YieldTermStructureHandle,A</v>
      </c>
    </row>
    <row r="18" spans="1:5" x14ac:dyDescent="0.25">
      <c r="A18" t="s">
        <v>89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83</v>
      </c>
      <c r="B19" s="3" t="s">
        <v>149</v>
      </c>
      <c r="C19" s="3" t="s">
        <v>149</v>
      </c>
    </row>
    <row r="20" spans="1:5" x14ac:dyDescent="0.25">
      <c r="A20" t="s">
        <v>84</v>
      </c>
      <c r="C20" s="3" t="s">
        <v>64</v>
      </c>
    </row>
    <row r="21" spans="1:5" x14ac:dyDescent="0.25">
      <c r="A21" t="s">
        <v>90</v>
      </c>
      <c r="C21" s="3">
        <v>0</v>
      </c>
    </row>
    <row r="22" spans="1:5" x14ac:dyDescent="0.25">
      <c r="A22" t="s">
        <v>91</v>
      </c>
      <c r="C22" s="3">
        <v>1</v>
      </c>
    </row>
    <row r="23" spans="1:5" x14ac:dyDescent="0.25">
      <c r="A23" t="s">
        <v>92</v>
      </c>
      <c r="C23" s="3">
        <v>0</v>
      </c>
    </row>
    <row r="24" spans="1:5" x14ac:dyDescent="0.25">
      <c r="A24" s="12" t="s">
        <v>93</v>
      </c>
      <c r="E24" s="1"/>
    </row>
    <row r="25" spans="1:5" x14ac:dyDescent="0.25">
      <c r="A25" s="12" t="s">
        <v>94</v>
      </c>
    </row>
    <row r="26" spans="1:5" x14ac:dyDescent="0.25">
      <c r="A26" s="10" t="s">
        <v>95</v>
      </c>
      <c r="C26" s="3">
        <v>0</v>
      </c>
    </row>
    <row r="27" spans="1:5" x14ac:dyDescent="0.25">
      <c r="A27" s="10" t="s">
        <v>17</v>
      </c>
      <c r="C27" s="2">
        <v>45663</v>
      </c>
    </row>
    <row r="28" spans="1:5" x14ac:dyDescent="0.25">
      <c r="A28" t="s">
        <v>69</v>
      </c>
      <c r="C28" s="3" t="s">
        <v>76</v>
      </c>
    </row>
    <row r="29" spans="1:5" x14ac:dyDescent="0.25">
      <c r="A29" t="s">
        <v>70</v>
      </c>
      <c r="C29" s="3" t="str">
        <f>_xll.qlCalendar("TARGET")</f>
        <v>TARGET</v>
      </c>
    </row>
    <row r="30" spans="1:5" x14ac:dyDescent="0.25">
      <c r="A30" t="s">
        <v>71</v>
      </c>
      <c r="C30" s="3" t="s">
        <v>53</v>
      </c>
    </row>
    <row r="31" spans="1:5" x14ac:dyDescent="0.25">
      <c r="A31" t="s">
        <v>72</v>
      </c>
      <c r="C31" s="3">
        <v>0</v>
      </c>
    </row>
    <row r="32" spans="1:5" x14ac:dyDescent="0.25">
      <c r="A32" t="s">
        <v>87</v>
      </c>
      <c r="C32" s="3">
        <v>100</v>
      </c>
    </row>
    <row r="33" spans="1:3" x14ac:dyDescent="0.25">
      <c r="A33" t="s">
        <v>96</v>
      </c>
      <c r="C33" s="3">
        <v>0</v>
      </c>
    </row>
    <row r="34" spans="1:3" x14ac:dyDescent="0.25">
      <c r="A34" s="4" t="s">
        <v>97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_xll.qlAmortizingFloatingRateBond(C4,C5:C7,C16,C18,C19,C20,C21,C22,C23,C24,C25,C26,C27,C28,C29,C30,C31,C32,C33)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3.0348052211436018E-2</v>
      </c>
      <c r="C35" s="3">
        <f>_xll.qlBondNextCouponRate(C34)</f>
        <v>3.0348052211436018E-2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7" t="s">
        <v>22</v>
      </c>
      <c r="B37" s="2">
        <f>_xll.qlBondNextCashFlowDate(B34)</f>
        <v>46030</v>
      </c>
      <c r="C37" s="2">
        <f>_xll.qlBondNextCashFlowDate(C34)</f>
        <v>46030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45663</v>
      </c>
      <c r="C40" s="2">
        <f>_xll.qlBondSettlementDate(C34)</f>
        <v>45663</v>
      </c>
    </row>
    <row r="41" spans="1:3" x14ac:dyDescent="0.25">
      <c r="A41" s="7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49682</v>
      </c>
      <c r="C43" s="2">
        <f>_xll.qlBondMaturityDate(C34)</f>
        <v>49682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7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57</v>
      </c>
      <c r="B46" s="3">
        <f>FIND("RuntimeError: RuntimeError: multiple redemption cash flows given",_xll.qlBondRedemption(B34))</f>
        <v>1</v>
      </c>
      <c r="C46" s="3">
        <f>FIND("RuntimeError: RuntimeError: multiple redemption cash flows given",_xll.qlBondRedemption(C34))</f>
        <v>1</v>
      </c>
    </row>
    <row r="47" spans="1:3" x14ac:dyDescent="0.25">
      <c r="A47" s="4" t="s">
        <v>58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7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7" t="s">
        <v>59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0" t="s">
        <v>55</v>
      </c>
      <c r="B51" s="3" t="str">
        <f>_xll.qlFlatForward(B2,0.03,"actual360","compounded","Quarterly")</f>
        <v>欣[test_bonds.xlsx]AmortizingFloatingRateBond!R51C2YieldTermStructureHandle,A</v>
      </c>
      <c r="C51" s="3" t="str">
        <f>_xll.qlFlatForward(B2,0.03,"actual360","compounded","Quarterly")</f>
        <v>欣[test_bonds.xlsx]AmortizingFloatingRateBond!R51C3YieldTermStructureHandle,A</v>
      </c>
    </row>
    <row r="52" spans="1:3" x14ac:dyDescent="0.25">
      <c r="A52" s="7" t="s">
        <v>151</v>
      </c>
      <c r="B52" s="3" t="str">
        <f>_xll.qlDiscountingBondEngine(B51)</f>
        <v>欣[test_bonds.xlsx]AmortizingFloatingRateBond!R52C2DiscountingBondEngine,A</v>
      </c>
      <c r="C52" s="3" t="str">
        <f>_xll.qlDiscountingBondEngine(C51)</f>
        <v>欣[test_bonds.xlsx]AmortizingFloatingRateBond!R52C3DiscountingBondEngine,A</v>
      </c>
    </row>
    <row r="53" spans="1:3" x14ac:dyDescent="0.25">
      <c r="A53" s="10" t="s">
        <v>152</v>
      </c>
      <c r="B53" s="3" t="b">
        <f>_xll.qlInstrumentSetPricingEngine(B34,B52)</f>
        <v>1</v>
      </c>
      <c r="C53" s="3" t="b">
        <f>_xll.qlInstrumentSetPricingEngine(C34,C52)</f>
        <v>1</v>
      </c>
    </row>
    <row r="54" spans="1:3" x14ac:dyDescent="0.25">
      <c r="A54" s="7" t="s">
        <v>33</v>
      </c>
      <c r="B54" s="9">
        <f>_xll.qlBondCleanPrice(B34,B53)</f>
        <v>99.694569705127705</v>
      </c>
      <c r="C54" s="9">
        <f>_xll.qlBondCleanPrice(C34,C53)</f>
        <v>99.694569705127705</v>
      </c>
    </row>
    <row r="55" spans="1:3" x14ac:dyDescent="0.25">
      <c r="A55" s="10" t="s">
        <v>56</v>
      </c>
      <c r="B55" s="9">
        <v>2.9888064241409308E-2</v>
      </c>
      <c r="C55" s="9">
        <v>2.9888064241409308E-2</v>
      </c>
    </row>
    <row r="56" spans="1:3" x14ac:dyDescent="0.25">
      <c r="A56" s="7" t="s">
        <v>34</v>
      </c>
      <c r="B56" s="9">
        <f>_xll.qlBondCleanPrice2(B34,B55,"actual360","continuous")</f>
        <v>99.694566327188411</v>
      </c>
      <c r="C56" s="9">
        <f>_xll.qlBondCleanPrice2(C34,C55,"actual360","continuous")</f>
        <v>99.694566327188411</v>
      </c>
    </row>
    <row r="57" spans="1:3" x14ac:dyDescent="0.25">
      <c r="A57" s="7" t="s">
        <v>35</v>
      </c>
      <c r="B57" s="9">
        <f>_xll.qlBondDirtyPrice(B34,B53)</f>
        <v>99.694569705127705</v>
      </c>
      <c r="C57" s="9">
        <f>_xll.qlBondDirtyPrice(C34,C53)</f>
        <v>99.694569705127705</v>
      </c>
    </row>
    <row r="58" spans="1:3" x14ac:dyDescent="0.25">
      <c r="A58" s="7" t="s">
        <v>36</v>
      </c>
      <c r="B58" s="9">
        <f>_xll.qlBondDirtyPrice2(B34,B55,"actual360","CONTINUOUS","annual")</f>
        <v>99.694566327188411</v>
      </c>
      <c r="C58" s="9">
        <f>_xll.qlBondDirtyPrice2(C34,C55,"actual360","CONTINUOUS","annual")</f>
        <v>99.694566327188411</v>
      </c>
    </row>
    <row r="59" spans="1:3" x14ac:dyDescent="0.25">
      <c r="A59" s="7" t="s">
        <v>37</v>
      </c>
      <c r="B59" s="9">
        <f>_xll.qlBondYield(B34,"actual360","CONTINUOUS","annual",,,B53)</f>
        <v>2.9888064241409308E-2</v>
      </c>
      <c r="C59" s="9">
        <f>_xll.qlBondYield(C34,"actual360","CONTINUOUS","annual",,,C53)</f>
        <v>2.9888064241409308E-2</v>
      </c>
    </row>
    <row r="60" spans="1:3" x14ac:dyDescent="0.25">
      <c r="A60" s="10" t="s">
        <v>120</v>
      </c>
      <c r="B60" s="9" t="str">
        <f>_xll.qlBondPrice(B54,"clean")</f>
        <v>欣[test_bonds.xlsx]AmortizingFloatingRateBond!R60C2BondPrice,A</v>
      </c>
      <c r="C60" s="9" t="str">
        <f>_xll.qlBondPrice(C54,"clean")</f>
        <v>欣[test_bonds.xlsx]AmortizingFloatingRateBond!R60C3BondPrice,A</v>
      </c>
    </row>
    <row r="61" spans="1:3" x14ac:dyDescent="0.25">
      <c r="A61" s="7" t="s">
        <v>38</v>
      </c>
      <c r="B61" s="9">
        <f>_xll.qlBondYield2(B34,B60,"actual360","CONTINUOUS","annual")</f>
        <v>2.9888064241409308E-2</v>
      </c>
      <c r="C61" s="9">
        <f>_xll.qlBondYield2(C34,C60,"actual360","CONTINUOUS","annual")</f>
        <v>2.9888064241409308E-2</v>
      </c>
    </row>
    <row r="62" spans="1:3" x14ac:dyDescent="0.25">
      <c r="A62" s="10" t="s">
        <v>54</v>
      </c>
      <c r="B62" s="2">
        <v>45667</v>
      </c>
      <c r="C62" s="2">
        <v>45667</v>
      </c>
    </row>
    <row r="63" spans="1:3" x14ac:dyDescent="0.25">
      <c r="A63" s="7" t="s">
        <v>39</v>
      </c>
      <c r="B63" s="9">
        <f>_xll.qlBondAccruedAmount(B34,B62)</f>
        <v>1.6860029006353344E-2</v>
      </c>
      <c r="C63" s="9">
        <f>_xll.qlBondAccruedAmount(C34,C62)</f>
        <v>1.6860029006353344E-2</v>
      </c>
    </row>
    <row r="64" spans="1:3" x14ac:dyDescent="0.25">
      <c r="A64" s="7" t="s">
        <v>40</v>
      </c>
      <c r="B64" s="9">
        <f>_xll.qlBondSettlementValue(B34,B53)</f>
        <v>149.54185455769155</v>
      </c>
      <c r="C64" s="9">
        <f>_xll.qlBondSettlementValue(C34,C53)</f>
        <v>149.54185455769155</v>
      </c>
    </row>
    <row r="65" spans="1:3" x14ac:dyDescent="0.25">
      <c r="A65" s="7" t="s">
        <v>41</v>
      </c>
      <c r="B65" s="9">
        <f>_xll.qlBondSettlementValue2(B34,B54)</f>
        <v>149.54185455769155</v>
      </c>
      <c r="C65" s="9">
        <f>_xll.qlBondSettlementValue2(C34,C54)</f>
        <v>149.54185455769155</v>
      </c>
    </row>
    <row r="66" spans="1:3" x14ac:dyDescent="0.25">
      <c r="A66" s="10" t="s">
        <v>154</v>
      </c>
      <c r="B66" s="9" t="str">
        <f>_xll.qlFlatForward($B$1,0.03,"actual365fixed")</f>
        <v>欣[test_bonds.xlsx]AmortizingFloatingRateBond!R66C2YieldTermStructureHandle,A</v>
      </c>
      <c r="C66" s="9" t="str">
        <f>_xll.qlFlatForward($B$1,0.03,"actual365fixed")</f>
        <v>欣[test_bonds.xlsx]AmortizingFloatingRateBond!R66C3YieldTermStructureHandle,A</v>
      </c>
    </row>
    <row r="67" spans="1:3" x14ac:dyDescent="0.25">
      <c r="A67" s="10" t="s">
        <v>163</v>
      </c>
      <c r="B67" s="9">
        <v>5.0000000000000001E-3</v>
      </c>
      <c r="C67" s="9">
        <v>5.0000000000000001E-3</v>
      </c>
    </row>
    <row r="68" spans="1:3" x14ac:dyDescent="0.25">
      <c r="A68" s="10" t="s">
        <v>165</v>
      </c>
      <c r="B68" s="9" t="s">
        <v>168</v>
      </c>
      <c r="C68" s="9" t="s">
        <v>168</v>
      </c>
    </row>
    <row r="69" spans="1:3" x14ac:dyDescent="0.25">
      <c r="A69" s="10" t="s">
        <v>164</v>
      </c>
      <c r="B69" s="9" t="s">
        <v>169</v>
      </c>
      <c r="C69" s="9" t="s">
        <v>169</v>
      </c>
    </row>
    <row r="70" spans="1:3" x14ac:dyDescent="0.25">
      <c r="A70" s="10" t="s">
        <v>166</v>
      </c>
      <c r="B70" s="9" t="s">
        <v>170</v>
      </c>
      <c r="C70" s="9" t="s">
        <v>170</v>
      </c>
    </row>
    <row r="71" spans="1:3" x14ac:dyDescent="0.25">
      <c r="A71" s="10" t="s">
        <v>167</v>
      </c>
      <c r="B71" s="9"/>
      <c r="C71" s="9"/>
    </row>
    <row r="72" spans="1:3" x14ac:dyDescent="0.25">
      <c r="A72" s="7" t="s">
        <v>162</v>
      </c>
      <c r="B72" s="3">
        <f>_xll.qlBondCleanPriceFromZSpread(B34,B66,B67,B68,B69,B70)</f>
        <v>96.66855780761604</v>
      </c>
      <c r="C72" s="3">
        <f>_xll.qlBondCleanPriceFromZSpread(C34,C66,C67,C68,C69,C70)</f>
        <v>96.66855780761604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9"/>
  <sheetViews>
    <sheetView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A63" sqref="A63:B69"/>
    </sheetView>
  </sheetViews>
  <sheetFormatPr baseColWidth="10" defaultColWidth="11.5703125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3" t="s">
        <v>55</v>
      </c>
      <c r="B15" s="14" t="str">
        <f>_xll.qlFlatForward(B2,0.03,"actual360","compounded","Quarterly")</f>
        <v>欣[test_bonds.xlsx]FloatingRateBond!R15C2YieldTermStructureHandle,A</v>
      </c>
      <c r="C15" s="14" t="str">
        <f>_xll.qlFlatForward(B2,0.03,"actual360","compounded","Quarterly")</f>
        <v>欣[test_bonds.xlsx]FloatingRateBond!R15C3YieldTermStructureHandle,A</v>
      </c>
    </row>
    <row r="16" spans="1:3" x14ac:dyDescent="0.25">
      <c r="A16" t="s">
        <v>89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67</v>
      </c>
      <c r="B17" s="3" t="s">
        <v>149</v>
      </c>
      <c r="C17" s="3" t="s">
        <v>149</v>
      </c>
    </row>
    <row r="18" spans="1:3" x14ac:dyDescent="0.25">
      <c r="A18" t="s">
        <v>84</v>
      </c>
      <c r="C18" s="3" t="s">
        <v>64</v>
      </c>
    </row>
    <row r="19" spans="1:3" x14ac:dyDescent="0.25">
      <c r="A19" t="s">
        <v>90</v>
      </c>
      <c r="C19" s="3">
        <v>0</v>
      </c>
    </row>
    <row r="20" spans="1:3" x14ac:dyDescent="0.25">
      <c r="A20" t="s">
        <v>91</v>
      </c>
      <c r="C20" s="3">
        <v>1</v>
      </c>
    </row>
    <row r="21" spans="1:3" x14ac:dyDescent="0.25">
      <c r="A21" t="s">
        <v>92</v>
      </c>
      <c r="C21" s="3">
        <v>0</v>
      </c>
    </row>
    <row r="22" spans="1:3" x14ac:dyDescent="0.25">
      <c r="A22" s="12" t="s">
        <v>93</v>
      </c>
    </row>
    <row r="23" spans="1:3" x14ac:dyDescent="0.25">
      <c r="A23" s="12" t="s">
        <v>94</v>
      </c>
    </row>
    <row r="24" spans="1:3" x14ac:dyDescent="0.25">
      <c r="A24" t="s">
        <v>95</v>
      </c>
      <c r="C24" s="3">
        <v>0</v>
      </c>
    </row>
    <row r="25" spans="1:3" x14ac:dyDescent="0.25">
      <c r="A25" t="s">
        <v>63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69</v>
      </c>
      <c r="C27" s="3" t="s">
        <v>76</v>
      </c>
    </row>
    <row r="28" spans="1:3" x14ac:dyDescent="0.25">
      <c r="A28" t="s">
        <v>70</v>
      </c>
      <c r="C28" s="3" t="str">
        <f>_xll.qlCalendar("TARGET")</f>
        <v>TARGET</v>
      </c>
    </row>
    <row r="29" spans="1:3" x14ac:dyDescent="0.25">
      <c r="A29" t="s">
        <v>71</v>
      </c>
      <c r="C29" s="3" t="s">
        <v>53</v>
      </c>
    </row>
    <row r="30" spans="1:3" x14ac:dyDescent="0.25">
      <c r="A30" t="s">
        <v>72</v>
      </c>
      <c r="C30" s="3">
        <v>1</v>
      </c>
    </row>
    <row r="31" spans="1:3" x14ac:dyDescent="0.25">
      <c r="A31" s="4" t="s">
        <v>98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_xll.qlFloatingRateBond(C4,C5,C14,C16,C17,C18,C19,C20,C21,C22,C23,C24,C25,C26,C27,C28,C29,C30)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3.0348052211436018E-2</v>
      </c>
      <c r="C32" s="3">
        <f>_xll.qlBondNextCouponRate(C31)</f>
        <v>3.0348052211436018E-2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7" t="s">
        <v>22</v>
      </c>
      <c r="B34" s="2">
        <f>_xll.qlBondNextCashFlowDate(B31)</f>
        <v>46030</v>
      </c>
      <c r="C34" s="2">
        <f>_xll.qlBondNextCashFlowDate(C31)</f>
        <v>46030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45663</v>
      </c>
      <c r="C37" s="2">
        <f>_xll.qlBondSettlementDate(C31)</f>
        <v>45663</v>
      </c>
    </row>
    <row r="38" spans="1:3" x14ac:dyDescent="0.25">
      <c r="A38" s="7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49682</v>
      </c>
      <c r="C40" s="2">
        <f>_xll.qlBondMaturityDate(C31)</f>
        <v>49682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7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57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58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7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7" t="s">
        <v>59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0" t="s">
        <v>55</v>
      </c>
      <c r="B48" s="3" t="str">
        <f>_xll.qlFlatForward(B2,0.03,"actual360","compounded","Quarterly")</f>
        <v>欣[test_bonds.xlsx]FloatingRateBond!R48C2YieldTermStructureHandle,A</v>
      </c>
      <c r="C48" s="3" t="str">
        <f>_xll.qlFlatForward(B2,0.03,"actual360","compounded","Quarterly")</f>
        <v>欣[test_bonds.xlsx]FloatingRateBond!R48C3YieldTermStructureHandle,A</v>
      </c>
    </row>
    <row r="49" spans="1:3" x14ac:dyDescent="0.25">
      <c r="A49" s="7" t="s">
        <v>151</v>
      </c>
      <c r="B49" s="3" t="str">
        <f>_xll.qlDiscountingBondEngine(B48)</f>
        <v>欣[test_bonds.xlsx]FloatingRateBond!R49C2DiscountingBondEngine,A</v>
      </c>
      <c r="C49" s="3" t="str">
        <f>_xll.qlDiscountingBondEngine(C48)</f>
        <v>欣[test_bonds.xlsx]FloatingRateBond!R49C3DiscountingBondEngine,A</v>
      </c>
    </row>
    <row r="50" spans="1:3" x14ac:dyDescent="0.25">
      <c r="A50" s="10" t="s">
        <v>152</v>
      </c>
      <c r="B50" s="3" t="b">
        <f>_xll.qlInstrumentSetPricingEngine(B31,B49)</f>
        <v>1</v>
      </c>
      <c r="C50" s="3" t="b">
        <f>_xll.qlInstrumentSetPricingEngine(C31,C49)</f>
        <v>1</v>
      </c>
    </row>
    <row r="51" spans="1:3" x14ac:dyDescent="0.25">
      <c r="A51" s="7" t="s">
        <v>33</v>
      </c>
      <c r="B51" s="9">
        <f>_xll.qlBondCleanPrice(B31,B50)</f>
        <v>99.58038954182615</v>
      </c>
      <c r="C51" s="9">
        <f>_xll.qlBondCleanPrice(C31,C50)</f>
        <v>99.58038954182615</v>
      </c>
    </row>
    <row r="52" spans="1:3" x14ac:dyDescent="0.25">
      <c r="A52" s="10" t="s">
        <v>56</v>
      </c>
      <c r="B52" s="9">
        <v>2.9888064241409308E-2</v>
      </c>
      <c r="C52" s="9">
        <v>2.9888064241409308E-2</v>
      </c>
    </row>
    <row r="53" spans="1:3" x14ac:dyDescent="0.25">
      <c r="A53" s="7" t="s">
        <v>34</v>
      </c>
      <c r="B53" s="9">
        <f>_xll.qlBondCleanPrice2(B31,B52,"actual360","continuous")</f>
        <v>99.580384843902053</v>
      </c>
      <c r="C53" s="9">
        <f>_xll.qlBondCleanPrice2(C31,C52,"actual360","continuous")</f>
        <v>99.580384843902053</v>
      </c>
    </row>
    <row r="54" spans="1:3" x14ac:dyDescent="0.25">
      <c r="A54" s="7" t="s">
        <v>35</v>
      </c>
      <c r="B54" s="9">
        <f>_xll.qlBondDirtyPrice(B31,B50)</f>
        <v>99.58038954182615</v>
      </c>
      <c r="C54" s="9">
        <f>_xll.qlBondDirtyPrice(C31,C50)</f>
        <v>99.58038954182615</v>
      </c>
    </row>
    <row r="55" spans="1:3" x14ac:dyDescent="0.25">
      <c r="A55" s="7" t="s">
        <v>36</v>
      </c>
      <c r="B55" s="9">
        <f>_xll.qlBondDirtyPrice2(B31,B52,"actual360","CONTINUOUS","annual")</f>
        <v>99.580384843902053</v>
      </c>
      <c r="C55" s="9">
        <f>_xll.qlBondDirtyPrice2(C31,C52,"actual360","CONTINUOUS","annual")</f>
        <v>99.580384843902053</v>
      </c>
    </row>
    <row r="56" spans="1:3" x14ac:dyDescent="0.25">
      <c r="A56" s="7" t="s">
        <v>37</v>
      </c>
      <c r="B56" s="9">
        <f>_xll.qlBondYield(B31,"actual360","CONTINUOUS","annual",,,B50)</f>
        <v>2.9888064241409308E-2</v>
      </c>
      <c r="C56" s="9">
        <f>_xll.qlBondYield(C31,"actual360","CONTINUOUS","annual",,,C50)</f>
        <v>2.9888064241409308E-2</v>
      </c>
    </row>
    <row r="57" spans="1:3" x14ac:dyDescent="0.25">
      <c r="A57" s="10" t="s">
        <v>120</v>
      </c>
      <c r="B57" s="9" t="str">
        <f>_xll.qlBondPrice(B51,"clean")</f>
        <v>欣[test_bonds.xlsx]FloatingRateBond!R57C2BondPrice,A</v>
      </c>
      <c r="C57" s="9" t="str">
        <f>_xll.qlBondPrice(C51,"clean")</f>
        <v>欣[test_bonds.xlsx]FloatingRateBond!R57C3BondPrice,A</v>
      </c>
    </row>
    <row r="58" spans="1:3" x14ac:dyDescent="0.25">
      <c r="A58" s="7" t="s">
        <v>38</v>
      </c>
      <c r="B58" s="9">
        <f>_xll.qlBondYield2(B31,B57,"actual360","CONTINUOUS","annual")</f>
        <v>2.9888064241409308E-2</v>
      </c>
      <c r="C58" s="9">
        <f>_xll.qlBondYield2(C31,C57,"actual360","CONTINUOUS","annual")</f>
        <v>2.9888064241409308E-2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_xll.qlBondAccruedAmount(B31,B59)</f>
        <v>1.6860029006353344E-2</v>
      </c>
      <c r="C60" s="9">
        <f>_xll.qlBondAccruedAmount(C31,C59)</f>
        <v>1.6860029006353344E-2</v>
      </c>
    </row>
    <row r="61" spans="1:3" x14ac:dyDescent="0.25">
      <c r="A61" s="7" t="s">
        <v>40</v>
      </c>
      <c r="B61" s="9">
        <f>_xll.qlBondSettlementValue(B31,B50)</f>
        <v>99.58038954182615</v>
      </c>
      <c r="C61" s="9">
        <f>_xll.qlBondSettlementValue(C31,C50)</f>
        <v>99.58038954182615</v>
      </c>
    </row>
    <row r="62" spans="1:3" x14ac:dyDescent="0.25">
      <c r="A62" s="7" t="s">
        <v>41</v>
      </c>
      <c r="B62" s="9">
        <f>_xll.qlBondSettlementValue2(B31,B51)</f>
        <v>99.58038954182615</v>
      </c>
      <c r="C62" s="9">
        <f>_xll.qlBondSettlementValue2(C31,C51)</f>
        <v>99.58038954182615</v>
      </c>
    </row>
    <row r="63" spans="1:3" x14ac:dyDescent="0.25">
      <c r="A63" s="10" t="s">
        <v>154</v>
      </c>
      <c r="B63" s="9" t="str">
        <f>_xll.qlFlatForward($B$1,0.03,"actual365fixed")</f>
        <v>欣[test_bonds.xlsx]FloatingRateBond!R63C2YieldTermStructureHandle,A</v>
      </c>
      <c r="C63" s="9" t="str">
        <f>_xll.qlFlatForward($B$1,0.03,"actual365fixed")</f>
        <v>欣[test_bonds.xlsx]FloatingRateBond!R63C3YieldTermStructureHandle,A</v>
      </c>
    </row>
    <row r="64" spans="1:3" x14ac:dyDescent="0.25">
      <c r="A64" s="10" t="s">
        <v>163</v>
      </c>
      <c r="B64" s="9">
        <v>5.0000000000000001E-3</v>
      </c>
      <c r="C64" s="9">
        <v>5.0000000000000001E-3</v>
      </c>
    </row>
    <row r="65" spans="1:3" x14ac:dyDescent="0.25">
      <c r="A65" s="10" t="s">
        <v>165</v>
      </c>
      <c r="B65" s="9" t="s">
        <v>168</v>
      </c>
      <c r="C65" s="9" t="s">
        <v>168</v>
      </c>
    </row>
    <row r="66" spans="1:3" x14ac:dyDescent="0.25">
      <c r="A66" s="10" t="s">
        <v>164</v>
      </c>
      <c r="B66" s="9" t="s">
        <v>169</v>
      </c>
      <c r="C66" s="9" t="s">
        <v>169</v>
      </c>
    </row>
    <row r="67" spans="1:3" x14ac:dyDescent="0.25">
      <c r="A67" s="10" t="s">
        <v>166</v>
      </c>
      <c r="B67" s="9" t="s">
        <v>170</v>
      </c>
      <c r="C67" s="9" t="s">
        <v>170</v>
      </c>
    </row>
    <row r="68" spans="1:3" x14ac:dyDescent="0.25">
      <c r="A68" s="10" t="s">
        <v>167</v>
      </c>
      <c r="B68" s="9"/>
      <c r="C68" s="9"/>
    </row>
    <row r="69" spans="1:3" x14ac:dyDescent="0.25">
      <c r="A69" s="7" t="s">
        <v>162</v>
      </c>
      <c r="B69" s="3">
        <f>_xll.qlBondCleanPriceFromZSpread(B31,B63,B64,B65,B66,B67)</f>
        <v>95.378021304374883</v>
      </c>
      <c r="C69" s="3">
        <f>_xll.qlBondCleanPriceFromZSpread(C31,C63,C64,C65,C66,C67)</f>
        <v>95.378021304374883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74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8" sqref="A68:B74"/>
    </sheetView>
  </sheetViews>
  <sheetFormatPr baseColWidth="10" defaultColWidth="11.5703125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s="5" t="s">
        <v>73</v>
      </c>
      <c r="B6" s="11">
        <v>45665</v>
      </c>
      <c r="C6" s="11">
        <v>45665</v>
      </c>
    </row>
    <row r="7" spans="1:3" x14ac:dyDescent="0.25">
      <c r="A7" s="5" t="s">
        <v>74</v>
      </c>
      <c r="B7" s="11">
        <v>49682</v>
      </c>
      <c r="C7" s="11">
        <v>49682</v>
      </c>
    </row>
    <row r="8" spans="1:3" x14ac:dyDescent="0.25">
      <c r="A8" s="5" t="s">
        <v>46</v>
      </c>
      <c r="B8" s="6" t="s">
        <v>52</v>
      </c>
      <c r="C8" s="6" t="s">
        <v>52</v>
      </c>
    </row>
    <row r="9" spans="1:3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x14ac:dyDescent="0.25">
      <c r="A10" s="5" t="s">
        <v>47</v>
      </c>
      <c r="B10" s="6" t="s">
        <v>53</v>
      </c>
      <c r="C10" s="6" t="s">
        <v>53</v>
      </c>
    </row>
    <row r="11" spans="1:3" x14ac:dyDescent="0.25">
      <c r="A11" s="5" t="s">
        <v>75</v>
      </c>
      <c r="B11" s="6" t="s">
        <v>53</v>
      </c>
      <c r="C11" s="6" t="s">
        <v>53</v>
      </c>
    </row>
    <row r="12" spans="1:3" x14ac:dyDescent="0.25">
      <c r="A12" s="5" t="s">
        <v>77</v>
      </c>
      <c r="B12" s="6" t="s">
        <v>79</v>
      </c>
      <c r="C12" s="6" t="s">
        <v>79</v>
      </c>
    </row>
    <row r="13" spans="1:3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x14ac:dyDescent="0.25">
      <c r="A15" s="13" t="s">
        <v>101</v>
      </c>
      <c r="B15" s="6" t="s">
        <v>102</v>
      </c>
      <c r="C15" s="6" t="s">
        <v>102</v>
      </c>
    </row>
    <row r="16" spans="1:3" x14ac:dyDescent="0.25">
      <c r="A16" s="13" t="s">
        <v>46</v>
      </c>
      <c r="B16" s="6" t="s">
        <v>76</v>
      </c>
      <c r="C16" s="6" t="s">
        <v>76</v>
      </c>
    </row>
    <row r="17" spans="1:3" x14ac:dyDescent="0.25">
      <c r="A17" s="13" t="s">
        <v>14</v>
      </c>
      <c r="B17" s="6">
        <v>2</v>
      </c>
      <c r="C17" s="6">
        <v>2</v>
      </c>
    </row>
    <row r="18" spans="1:3" x14ac:dyDescent="0.25">
      <c r="A18" s="13" t="s">
        <v>103</v>
      </c>
      <c r="B18" s="6" t="s">
        <v>104</v>
      </c>
      <c r="C18" s="6" t="s">
        <v>104</v>
      </c>
    </row>
    <row r="19" spans="1:3" x14ac:dyDescent="0.25">
      <c r="A19" s="13" t="s">
        <v>60</v>
      </c>
      <c r="B19" s="6" t="str">
        <f>_xll.qlCalendar("TARGET")</f>
        <v>TARGET</v>
      </c>
      <c r="C19" s="6" t="str">
        <f>_xll.qlCalendar("TARGET")</f>
        <v>TARGET</v>
      </c>
    </row>
    <row r="20" spans="1:3" x14ac:dyDescent="0.25">
      <c r="A20" s="13" t="s">
        <v>105</v>
      </c>
      <c r="B20" s="6" t="s">
        <v>52</v>
      </c>
      <c r="C20" s="6" t="s">
        <v>52</v>
      </c>
    </row>
    <row r="21" spans="1:3" x14ac:dyDescent="0.25">
      <c r="A21" s="13" t="s">
        <v>106</v>
      </c>
      <c r="B21" s="6" t="s">
        <v>64</v>
      </c>
      <c r="C21" s="6" t="s">
        <v>64</v>
      </c>
    </row>
    <row r="22" spans="1:3" x14ac:dyDescent="0.25">
      <c r="A22" s="13" t="s">
        <v>107</v>
      </c>
      <c r="B22" s="6" t="s">
        <v>108</v>
      </c>
      <c r="C22" s="6" t="s">
        <v>108</v>
      </c>
    </row>
    <row r="23" spans="1:3" x14ac:dyDescent="0.25">
      <c r="A23" s="13" t="s">
        <v>109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x14ac:dyDescent="0.25">
      <c r="A24" s="13" t="s">
        <v>110</v>
      </c>
      <c r="B24" s="6" t="str">
        <f>_xll.qlFlatForward(B2,0.03,"Actual360","Compounded","Quarterly")</f>
        <v>欣[test_bonds.xlsx]CmsRateBond!R24C2YieldTermStructureHandle,A</v>
      </c>
      <c r="C24" s="6" t="str">
        <f>_xll.qlFlatForward(B2,0.03,"Actual360","Compounded","Quarterly")</f>
        <v>欣[test_bonds.xlsx]CmsRateBond!R24C3YieldTermStructureHandle,A</v>
      </c>
    </row>
    <row r="25" spans="1:3" x14ac:dyDescent="0.25">
      <c r="A25" t="s">
        <v>100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67</v>
      </c>
      <c r="B26" s="3" t="s">
        <v>149</v>
      </c>
      <c r="C26" s="3" t="s">
        <v>149</v>
      </c>
    </row>
    <row r="27" spans="1:3" x14ac:dyDescent="0.25">
      <c r="A27" t="s">
        <v>84</v>
      </c>
      <c r="B27" s="3" t="s">
        <v>64</v>
      </c>
      <c r="C27" s="3" t="s">
        <v>64</v>
      </c>
    </row>
    <row r="28" spans="1:3" x14ac:dyDescent="0.25">
      <c r="A28" t="s">
        <v>90</v>
      </c>
      <c r="B28" s="3">
        <v>2</v>
      </c>
      <c r="C28" s="3">
        <v>2</v>
      </c>
    </row>
    <row r="29" spans="1:3" x14ac:dyDescent="0.25">
      <c r="A29" s="12" t="s">
        <v>91</v>
      </c>
      <c r="B29" s="3">
        <v>0</v>
      </c>
      <c r="C29" s="3">
        <v>0</v>
      </c>
    </row>
    <row r="30" spans="1:3" x14ac:dyDescent="0.25">
      <c r="A30" t="s">
        <v>92</v>
      </c>
      <c r="B30" s="3">
        <v>3.0000000000000001E-3</v>
      </c>
      <c r="C30" s="3">
        <v>3.0000000000000001E-3</v>
      </c>
    </row>
    <row r="31" spans="1:3" x14ac:dyDescent="0.25">
      <c r="A31" s="10" t="s">
        <v>93</v>
      </c>
      <c r="B31" s="3">
        <v>0</v>
      </c>
      <c r="C31" s="3">
        <v>0</v>
      </c>
    </row>
    <row r="32" spans="1:3" x14ac:dyDescent="0.25">
      <c r="A32" s="10" t="s">
        <v>94</v>
      </c>
      <c r="B32" s="3">
        <v>0</v>
      </c>
      <c r="C32" s="3">
        <v>0</v>
      </c>
    </row>
    <row r="33" spans="1:3" x14ac:dyDescent="0.25">
      <c r="A33" t="s">
        <v>95</v>
      </c>
      <c r="C33" s="3">
        <v>1</v>
      </c>
    </row>
    <row r="34" spans="1:3" x14ac:dyDescent="0.25">
      <c r="A34" t="s">
        <v>63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99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0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7" t="s">
        <v>22</v>
      </c>
      <c r="B39" s="2">
        <f>_xll.qlBondNextCashFlowDate(B36)</f>
        <v>46030</v>
      </c>
      <c r="C39" s="2">
        <f>_xll.qlBondNextCashFlowDate(C36)</f>
        <v>46030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45663</v>
      </c>
      <c r="C42" s="2">
        <f>_xll.qlBondSettlementDate(C36)</f>
        <v>45663</v>
      </c>
    </row>
    <row r="43" spans="1:3" x14ac:dyDescent="0.25">
      <c r="A43" s="7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49682</v>
      </c>
      <c r="C45" s="2">
        <f>_xll.qlBondMaturityDate(C36)</f>
        <v>49682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7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57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58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7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7" t="s">
        <v>59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0" t="s">
        <v>55</v>
      </c>
      <c r="B53" s="3" t="str">
        <f>_xll.qlFlatForward(B2,0.03,"actual360","compounded","Quarterly")</f>
        <v>欣[test_bonds.xlsx]CmsRateBond!R53C2YieldTermStructureHandle,A</v>
      </c>
      <c r="C53" s="3" t="str">
        <f>_xll.qlFlatForward(B2,0.03,"actual360","compounded","Quarterly")</f>
        <v>欣[test_bonds.xlsx]CmsRateBond!R53C3YieldTermStructureHandle,A</v>
      </c>
    </row>
    <row r="54" spans="1:3" x14ac:dyDescent="0.25">
      <c r="A54" s="7" t="s">
        <v>151</v>
      </c>
      <c r="B54" s="3" t="str">
        <f>_xll.qlDiscountingBondEngine(B53)</f>
        <v>欣[test_bonds.xlsx]CmsRateBond!R54C2DiscountingBondEngine,A</v>
      </c>
      <c r="C54" s="3" t="str">
        <f>_xll.qlDiscountingBondEngine(C53)</f>
        <v>欣[test_bonds.xlsx]CmsRateBond!R54C3DiscountingBondEngine,A</v>
      </c>
    </row>
    <row r="55" spans="1:3" x14ac:dyDescent="0.25">
      <c r="A55" s="10" t="s">
        <v>152</v>
      </c>
      <c r="B55" s="3" t="b">
        <f>_xll.qlInstrumentSetPricingEngine(B36,B54)</f>
        <v>1</v>
      </c>
      <c r="C55" s="3" t="b">
        <f>_xll.qlInstrumentSetPricingEngine(C36,C54)</f>
        <v>1</v>
      </c>
    </row>
    <row r="56" spans="1:3" x14ac:dyDescent="0.25">
      <c r="A56" s="7" t="s">
        <v>33</v>
      </c>
      <c r="B56" s="9">
        <f>_xll.qlBondCleanPrice(B36,B55)</f>
        <v>71.629228665106581</v>
      </c>
      <c r="C56" s="9">
        <f>_xll.qlBondCleanPrice(C36,C55)</f>
        <v>85.955074398127891</v>
      </c>
    </row>
    <row r="57" spans="1:3" x14ac:dyDescent="0.25">
      <c r="A57" s="10" t="s">
        <v>56</v>
      </c>
      <c r="B57" s="9">
        <v>2.9888064241409301E-2</v>
      </c>
      <c r="C57" s="9">
        <v>2.9888064241409301E-2</v>
      </c>
    </row>
    <row r="58" spans="1:3" x14ac:dyDescent="0.25">
      <c r="A58" s="7" t="s">
        <v>34</v>
      </c>
      <c r="B58" s="9">
        <f>_xll.qlBondCleanPrice2(B36,B57,"actual360","continuous")</f>
        <v>71.629224757480401</v>
      </c>
      <c r="C58" s="9">
        <f>_xll.qlBondCleanPrice2(C36,C57,"actual360","continuous")</f>
        <v>85.955069708976481</v>
      </c>
    </row>
    <row r="59" spans="1:3" x14ac:dyDescent="0.25">
      <c r="A59" s="7" t="s">
        <v>35</v>
      </c>
      <c r="B59" s="9">
        <f>_xll.qlBondDirtyPrice(B36,B55)</f>
        <v>71.629228665106581</v>
      </c>
      <c r="C59" s="9">
        <f>_xll.qlBondDirtyPrice(C36,C55)</f>
        <v>85.955074398127891</v>
      </c>
    </row>
    <row r="60" spans="1:3" x14ac:dyDescent="0.25">
      <c r="A60" s="7" t="s">
        <v>36</v>
      </c>
      <c r="B60" s="9">
        <f>_xll.qlBondDirtyPrice2(B36,B57,"actual360","CONTINUOUS","annual")</f>
        <v>71.629224757480401</v>
      </c>
      <c r="C60" s="9">
        <f>_xll.qlBondDirtyPrice2(C36,C57,"actual360","CONTINUOUS","annual")</f>
        <v>85.955069708976481</v>
      </c>
    </row>
    <row r="61" spans="1:3" x14ac:dyDescent="0.25">
      <c r="A61" s="7" t="s">
        <v>37</v>
      </c>
      <c r="B61" s="9">
        <f>_xll.qlBondYield(B36,"actual360","CONTINUOUS","annual",,,B55)</f>
        <v>2.9888064241409308E-2</v>
      </c>
      <c r="C61" s="9">
        <f>_xll.qlBondYield(C36,"actual360","CONTINUOUS","annual",,,C55)</f>
        <v>2.9888064241409308E-2</v>
      </c>
    </row>
    <row r="62" spans="1:3" x14ac:dyDescent="0.25">
      <c r="A62" s="10" t="s">
        <v>120</v>
      </c>
      <c r="B62" s="9" t="str">
        <f>_xll.qlBondPrice(B56,"clean")</f>
        <v>欣[test_bonds.xlsx]CmsRateBond!R62C2BondPrice,A</v>
      </c>
      <c r="C62" s="9" t="str">
        <f>_xll.qlBondPrice(C56,"clean")</f>
        <v>欣[test_bonds.xlsx]CmsRateBond!R62C3BondPrice,A</v>
      </c>
    </row>
    <row r="63" spans="1:3" x14ac:dyDescent="0.25">
      <c r="A63" s="7" t="s">
        <v>38</v>
      </c>
      <c r="B63" s="9">
        <f>_xll.qlBondYield2(B36,B62,"actual360","CONTINUOUS","annual")</f>
        <v>2.9888064241409308E-2</v>
      </c>
      <c r="C63" s="9">
        <f>_xll.qlBondYield2(C36,C62,"actual360","CONTINUOUS","annual")</f>
        <v>2.9888064241409308E-2</v>
      </c>
    </row>
    <row r="64" spans="1:3" x14ac:dyDescent="0.25">
      <c r="A64" s="10" t="s">
        <v>54</v>
      </c>
      <c r="B64" s="2">
        <v>45667</v>
      </c>
      <c r="C64" s="2">
        <v>45667</v>
      </c>
    </row>
    <row r="65" spans="1:3" x14ac:dyDescent="0.25">
      <c r="A65" s="7" t="s">
        <v>39</v>
      </c>
      <c r="B65" s="9">
        <f>_xll.qlBondAccruedAmount(B36,B64)</f>
        <v>0</v>
      </c>
      <c r="C65" s="9">
        <f>_xll.qlBondAccruedAmount(C36,C64)</f>
        <v>0</v>
      </c>
    </row>
    <row r="66" spans="1:3" x14ac:dyDescent="0.25">
      <c r="A66" s="7" t="s">
        <v>40</v>
      </c>
      <c r="B66" s="9">
        <f>_xll.qlBondSettlementValue(B36,B55)</f>
        <v>71.629228665106581</v>
      </c>
      <c r="C66" s="9">
        <f>_xll.qlBondSettlementValue(C36,C55)</f>
        <v>85.955074398127891</v>
      </c>
    </row>
    <row r="67" spans="1:3" x14ac:dyDescent="0.25">
      <c r="A67" s="7" t="s">
        <v>41</v>
      </c>
      <c r="B67" s="9">
        <f>_xll.qlBondSettlementValue2(B36,B56)</f>
        <v>71.629228665106581</v>
      </c>
      <c r="C67" s="9">
        <f>_xll.qlBondSettlementValue2(C36,C56)</f>
        <v>85.955074398127891</v>
      </c>
    </row>
    <row r="68" spans="1:3" x14ac:dyDescent="0.25">
      <c r="A68" s="10" t="s">
        <v>154</v>
      </c>
      <c r="B68" s="9" t="str">
        <f>_xll.qlFlatForward($B$1,0.03,"actual365fixed")</f>
        <v>欣[test_bonds.xlsx]CmsRateBond!R68C2YieldTermStructureHandle,A</v>
      </c>
      <c r="C68" s="9" t="str">
        <f>_xll.qlFlatForward($B$1,0.03,"actual365fixed")</f>
        <v>欣[test_bonds.xlsx]CmsRateBond!R68C3YieldTermStructureHandle,A</v>
      </c>
    </row>
    <row r="69" spans="1:3" x14ac:dyDescent="0.25">
      <c r="A69" s="10" t="s">
        <v>163</v>
      </c>
      <c r="B69" s="9">
        <v>5.0000000000000001E-3</v>
      </c>
      <c r="C69" s="9">
        <v>5.0000000000000001E-3</v>
      </c>
    </row>
    <row r="70" spans="1:3" x14ac:dyDescent="0.25">
      <c r="A70" s="10" t="s">
        <v>165</v>
      </c>
      <c r="B70" s="9" t="s">
        <v>168</v>
      </c>
      <c r="C70" s="9" t="s">
        <v>168</v>
      </c>
    </row>
    <row r="71" spans="1:3" x14ac:dyDescent="0.25">
      <c r="A71" s="10" t="s">
        <v>164</v>
      </c>
      <c r="B71" s="9" t="s">
        <v>169</v>
      </c>
      <c r="C71" s="9" t="s">
        <v>169</v>
      </c>
    </row>
    <row r="72" spans="1:3" x14ac:dyDescent="0.25">
      <c r="A72" s="10" t="s">
        <v>166</v>
      </c>
      <c r="B72" s="9" t="s">
        <v>170</v>
      </c>
      <c r="C72" s="9" t="s">
        <v>170</v>
      </c>
    </row>
    <row r="73" spans="1:3" x14ac:dyDescent="0.25">
      <c r="A73" s="10" t="s">
        <v>167</v>
      </c>
      <c r="B73" s="9"/>
      <c r="C73" s="9"/>
    </row>
    <row r="74" spans="1:3" x14ac:dyDescent="0.25">
      <c r="A74" s="7" t="s">
        <v>162</v>
      </c>
      <c r="B74" s="3">
        <f>_xll.qlBondCleanPriceFromZSpread(B36,B68,B69,B70,B71,B72)</f>
        <v>68.138537120691339</v>
      </c>
      <c r="C74" s="3">
        <f>_xll.qlBondCleanPriceFromZSpread(C36,C68,C69,C70,C71,C72)</f>
        <v>81.766244544829618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75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8.5703125" customWidth="1"/>
    <col min="2" max="2" width="73.85546875" customWidth="1"/>
    <col min="3" max="3" width="71.140625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82</v>
      </c>
      <c r="B5" s="3">
        <v>103</v>
      </c>
      <c r="C5" s="3">
        <v>103</v>
      </c>
    </row>
    <row r="6" spans="1:3" x14ac:dyDescent="0.25">
      <c r="A6" s="117"/>
      <c r="B6" s="3">
        <v>102</v>
      </c>
      <c r="C6" s="3">
        <v>102</v>
      </c>
    </row>
    <row r="7" spans="1:3" x14ac:dyDescent="0.25">
      <c r="A7" s="117"/>
      <c r="B7" s="3">
        <v>101</v>
      </c>
      <c r="C7" s="3">
        <v>101</v>
      </c>
    </row>
    <row r="8" spans="1:3" x14ac:dyDescent="0.25">
      <c r="A8" s="5" t="s">
        <v>73</v>
      </c>
      <c r="B8" s="11">
        <v>45665</v>
      </c>
      <c r="C8" s="11">
        <v>45665</v>
      </c>
    </row>
    <row r="9" spans="1:3" x14ac:dyDescent="0.25">
      <c r="A9" s="5" t="s">
        <v>74</v>
      </c>
      <c r="B9" s="11">
        <v>49682</v>
      </c>
      <c r="C9" s="11">
        <v>49682</v>
      </c>
    </row>
    <row r="10" spans="1:3" x14ac:dyDescent="0.25">
      <c r="A10" s="5" t="s">
        <v>46</v>
      </c>
      <c r="B10" s="6" t="s">
        <v>148</v>
      </c>
      <c r="C10" s="6" t="s">
        <v>148</v>
      </c>
    </row>
    <row r="11" spans="1:3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x14ac:dyDescent="0.25">
      <c r="A12" s="5" t="s">
        <v>47</v>
      </c>
      <c r="B12" s="6" t="s">
        <v>53</v>
      </c>
      <c r="C12" s="6" t="s">
        <v>53</v>
      </c>
    </row>
    <row r="13" spans="1:3" x14ac:dyDescent="0.25">
      <c r="A13" s="5" t="s">
        <v>75</v>
      </c>
      <c r="B13" s="6" t="s">
        <v>53</v>
      </c>
      <c r="C13" s="6" t="s">
        <v>53</v>
      </c>
    </row>
    <row r="14" spans="1:3" x14ac:dyDescent="0.25">
      <c r="A14" s="5" t="s">
        <v>77</v>
      </c>
      <c r="B14" s="6" t="s">
        <v>79</v>
      </c>
      <c r="C14" s="6" t="s">
        <v>79</v>
      </c>
    </row>
    <row r="15" spans="1:3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x14ac:dyDescent="0.25">
      <c r="A17" s="13" t="s">
        <v>101</v>
      </c>
      <c r="B17" s="6" t="s">
        <v>102</v>
      </c>
      <c r="C17" s="6" t="s">
        <v>102</v>
      </c>
    </row>
    <row r="18" spans="1:3" x14ac:dyDescent="0.25">
      <c r="A18" s="13" t="s">
        <v>46</v>
      </c>
      <c r="B18" s="6" t="s">
        <v>76</v>
      </c>
      <c r="C18" s="6" t="s">
        <v>76</v>
      </c>
    </row>
    <row r="19" spans="1:3" x14ac:dyDescent="0.25">
      <c r="A19" s="13" t="s">
        <v>14</v>
      </c>
      <c r="B19" s="6">
        <v>2</v>
      </c>
      <c r="C19" s="6">
        <v>2</v>
      </c>
    </row>
    <row r="20" spans="1:3" x14ac:dyDescent="0.25">
      <c r="A20" s="13" t="s">
        <v>103</v>
      </c>
      <c r="B20" s="6" t="s">
        <v>104</v>
      </c>
      <c r="C20" s="6" t="s">
        <v>104</v>
      </c>
    </row>
    <row r="21" spans="1:3" x14ac:dyDescent="0.25">
      <c r="A21" s="13" t="s">
        <v>60</v>
      </c>
      <c r="B21" s="6" t="str">
        <f>_xll.qlCalendar("TARGET")</f>
        <v>TARGET</v>
      </c>
      <c r="C21" s="6" t="str">
        <f>_xll.qlCalendar("TARGET")</f>
        <v>TARGET</v>
      </c>
    </row>
    <row r="22" spans="1:3" x14ac:dyDescent="0.25">
      <c r="A22" s="13" t="s">
        <v>105</v>
      </c>
      <c r="B22" s="6" t="s">
        <v>52</v>
      </c>
      <c r="C22" s="6" t="s">
        <v>52</v>
      </c>
    </row>
    <row r="23" spans="1:3" x14ac:dyDescent="0.25">
      <c r="A23" s="13" t="s">
        <v>106</v>
      </c>
      <c r="B23" s="6" t="s">
        <v>64</v>
      </c>
      <c r="C23" s="6" t="s">
        <v>64</v>
      </c>
    </row>
    <row r="24" spans="1:3" x14ac:dyDescent="0.25">
      <c r="A24" s="13" t="s">
        <v>107</v>
      </c>
      <c r="B24" s="6" t="s">
        <v>149</v>
      </c>
      <c r="C24" s="6" t="s">
        <v>149</v>
      </c>
    </row>
    <row r="25" spans="1:3" x14ac:dyDescent="0.25">
      <c r="A25" s="13" t="s">
        <v>109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x14ac:dyDescent="0.25">
      <c r="A26" s="13" t="s">
        <v>110</v>
      </c>
      <c r="B26" s="6" t="str">
        <f>_xll.qlFlatForward(B2,0.03,"Actual360","Compounded","Quarterly")</f>
        <v>欣[test_bonds.xlsx]AmortizingCmsRateBond!R26C2YieldTermStructureHandle,A</v>
      </c>
      <c r="C26" s="6" t="str">
        <f>_xll.qlFlatForward(B2,0.03,"Actual360","Compounded","Quarterly")</f>
        <v>欣[test_bonds.xlsx]AmortizingCmsRateBond!R26C3YieldTermStructureHandle,A</v>
      </c>
    </row>
    <row r="27" spans="1:3" x14ac:dyDescent="0.25">
      <c r="A27" t="s">
        <v>100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67</v>
      </c>
      <c r="B28" s="3" t="s">
        <v>149</v>
      </c>
      <c r="C28" s="3" t="s">
        <v>149</v>
      </c>
    </row>
    <row r="29" spans="1:3" x14ac:dyDescent="0.25">
      <c r="A29" t="s">
        <v>84</v>
      </c>
      <c r="B29" s="3"/>
      <c r="C29" s="3" t="s">
        <v>64</v>
      </c>
    </row>
    <row r="30" spans="1:3" x14ac:dyDescent="0.25">
      <c r="A30" t="s">
        <v>90</v>
      </c>
      <c r="B30" s="3"/>
      <c r="C30" s="3">
        <v>0</v>
      </c>
    </row>
    <row r="31" spans="1:3" x14ac:dyDescent="0.25">
      <c r="A31" s="12" t="s">
        <v>91</v>
      </c>
      <c r="B31" s="3"/>
      <c r="C31" s="3">
        <v>0</v>
      </c>
    </row>
    <row r="32" spans="1:3" x14ac:dyDescent="0.25">
      <c r="A32" t="s">
        <v>92</v>
      </c>
      <c r="B32" s="3"/>
      <c r="C32" s="3">
        <v>3.0000000000000001E-3</v>
      </c>
    </row>
    <row r="33" spans="1:3" x14ac:dyDescent="0.25">
      <c r="A33" s="10" t="s">
        <v>93</v>
      </c>
      <c r="B33" s="3"/>
      <c r="C33" s="3">
        <v>1</v>
      </c>
    </row>
    <row r="34" spans="1:3" x14ac:dyDescent="0.25">
      <c r="A34" s="10" t="s">
        <v>94</v>
      </c>
      <c r="B34" s="3"/>
      <c r="C34" s="3">
        <v>0</v>
      </c>
    </row>
    <row r="35" spans="1:3" x14ac:dyDescent="0.25">
      <c r="A35" t="s">
        <v>95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111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7" t="s">
        <v>22</v>
      </c>
      <c r="B40" s="2">
        <f>_xll.qlBondNextCashFlowDate(B37)</f>
        <v>46030</v>
      </c>
      <c r="C40" s="2">
        <f>_xll.qlBondNextCashFlowDate(C37)</f>
        <v>46030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45663</v>
      </c>
      <c r="C43" s="2">
        <f>_xll.qlBondSettlementDate(C37)</f>
        <v>45663</v>
      </c>
    </row>
    <row r="44" spans="1:3" x14ac:dyDescent="0.25">
      <c r="A44" s="7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49682</v>
      </c>
      <c r="C46" s="2">
        <f>_xll.qlBondMaturityDate(C37)</f>
        <v>49682</v>
      </c>
    </row>
    <row r="47" spans="1:3" x14ac:dyDescent="0.25">
      <c r="A47" s="4" t="s">
        <v>29</v>
      </c>
      <c r="B47" s="3">
        <f>_xll.qlBondIssueDate(B37)</f>
        <v>0</v>
      </c>
      <c r="C47" s="2">
        <f>_xll.qlBondIssueDate(C37)</f>
        <v>45663</v>
      </c>
    </row>
    <row r="48" spans="1:3" x14ac:dyDescent="0.25">
      <c r="A48" s="7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57</v>
      </c>
      <c r="B49" s="3">
        <f>FIND("RuntimeError: RuntimeError: multiple redemption cash flows given",_xll.qlBondRedemption(B37))</f>
        <v>1</v>
      </c>
      <c r="C49" s="3">
        <f>FIND("RuntimeError: RuntimeError: multiple redemption cash flows given",_xll.qlBondRedemption(C37))</f>
        <v>1</v>
      </c>
    </row>
    <row r="50" spans="1:3" x14ac:dyDescent="0.25">
      <c r="A50" s="4" t="s">
        <v>58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7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7" t="s">
        <v>59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0" t="s">
        <v>55</v>
      </c>
      <c r="B54" s="3" t="str">
        <f>_xll.qlFlatForward(B2,0.03,"actual360","compounded","Quarterly")</f>
        <v>欣[test_bonds.xlsx]AmortizingCmsRateBond!R54C2YieldTermStructureHandle,A</v>
      </c>
      <c r="C54" s="3" t="str">
        <f>_xll.qlFlatForward(B2,0.03,"actual360","compounded","Quarterly")</f>
        <v>欣[test_bonds.xlsx]AmortizingCmsRateBond!R54C3YieldTermStructureHandle,A</v>
      </c>
    </row>
    <row r="55" spans="1:3" x14ac:dyDescent="0.25">
      <c r="A55" s="7" t="s">
        <v>151</v>
      </c>
      <c r="B55" s="3" t="str">
        <f>_xll.qlDiscountingBondEngine(B54)</f>
        <v>欣[test_bonds.xlsx]AmortizingCmsRateBond!R55C2DiscountingBondEngine,A</v>
      </c>
      <c r="C55" s="3" t="str">
        <f>_xll.qlDiscountingBondEngine(C54)</f>
        <v>欣[test_bonds.xlsx]AmortizingCmsRateBond!R55C3DiscountingBondEngine,A</v>
      </c>
    </row>
    <row r="56" spans="1:3" x14ac:dyDescent="0.25">
      <c r="A56" s="10" t="s">
        <v>152</v>
      </c>
      <c r="B56" s="3" t="b">
        <f>_xll.qlInstrumentSetPricingEngine(B37,B55)</f>
        <v>1</v>
      </c>
      <c r="C56" s="3" t="b">
        <f>_xll.qlInstrumentSetPricingEngine(C37,C55)</f>
        <v>1</v>
      </c>
    </row>
    <row r="57" spans="1:3" x14ac:dyDescent="0.25">
      <c r="A57" s="7" t="s">
        <v>33</v>
      </c>
      <c r="B57" s="9">
        <f>_xll.qlBondCleanPrice(B37,B56)</f>
        <v>72.093736554270748</v>
      </c>
      <c r="C57" s="9">
        <f>_xll.qlBondCleanPrice(C37,C56)</f>
        <v>74.811708809405872</v>
      </c>
    </row>
    <row r="58" spans="1:3" x14ac:dyDescent="0.25">
      <c r="A58" s="10" t="s">
        <v>56</v>
      </c>
      <c r="B58" s="9">
        <v>2.9888064241409308E-2</v>
      </c>
      <c r="C58" s="9">
        <v>2.9888064241409308E-2</v>
      </c>
    </row>
    <row r="59" spans="1:3" x14ac:dyDescent="0.25">
      <c r="A59" s="7" t="s">
        <v>34</v>
      </c>
      <c r="B59" s="9">
        <f>_xll.qlBondCleanPrice2(B37,B58,"actual360","continuous")</f>
        <v>72.09373270875146</v>
      </c>
      <c r="C59" s="9">
        <f>_xll.qlBondCleanPrice2(C37,C58,"actual360","continuous")</f>
        <v>74.811704887219548</v>
      </c>
    </row>
    <row r="60" spans="1:3" x14ac:dyDescent="0.25">
      <c r="A60" s="7" t="s">
        <v>35</v>
      </c>
      <c r="B60" s="9">
        <f>_xll.qlBondDirtyPrice(B37,B56)</f>
        <v>72.093736554270748</v>
      </c>
      <c r="C60" s="9">
        <f>_xll.qlBondDirtyPrice(C37,C56)</f>
        <v>74.811708809405872</v>
      </c>
    </row>
    <row r="61" spans="1:3" x14ac:dyDescent="0.25">
      <c r="A61" s="7" t="s">
        <v>36</v>
      </c>
      <c r="B61" s="9">
        <f>_xll.qlBondDirtyPrice2(B37,B58,"actual360","CONTINUOUS","annual")</f>
        <v>72.09373270875146</v>
      </c>
      <c r="C61" s="9">
        <f>_xll.qlBondDirtyPrice2(C37,C58,"actual360","CONTINUOUS","annual")</f>
        <v>74.811704887219548</v>
      </c>
    </row>
    <row r="62" spans="1:3" x14ac:dyDescent="0.25">
      <c r="A62" s="7" t="s">
        <v>37</v>
      </c>
      <c r="B62" s="9">
        <f>_xll.qlBondYield(B37,"actual360","CONTINUOUS","annual",,,B56)</f>
        <v>2.9888064241409308E-2</v>
      </c>
      <c r="C62" s="9">
        <f>_xll.qlBondYield(C37,"actual360","CONTINUOUS","annual",,,C56)</f>
        <v>2.9888064241409308E-2</v>
      </c>
    </row>
    <row r="63" spans="1:3" x14ac:dyDescent="0.25">
      <c r="A63" s="10" t="s">
        <v>120</v>
      </c>
      <c r="B63" s="9" t="str">
        <f>_xll.qlBondPrice(B57,"clean")</f>
        <v>欣[test_bonds.xlsx]AmortizingCmsRateBond!R63C2BondPrice,A</v>
      </c>
      <c r="C63" s="9" t="str">
        <f>_xll.qlBondPrice(C57,"clean")</f>
        <v>欣[test_bonds.xlsx]AmortizingCmsRateBond!R63C3BondPrice,A</v>
      </c>
    </row>
    <row r="64" spans="1:3" x14ac:dyDescent="0.25">
      <c r="A64" s="7" t="s">
        <v>38</v>
      </c>
      <c r="B64" s="9">
        <f>_xll.qlBondYield2(B37,B63,"actual360","CONTINUOUS","annual")</f>
        <v>2.9888064241409308E-2</v>
      </c>
      <c r="C64" s="9">
        <f>_xll.qlBondYield2(C37,C63,"actual360","CONTINUOUS","annual")</f>
        <v>2.9888064241409308E-2</v>
      </c>
    </row>
    <row r="65" spans="1:3" x14ac:dyDescent="0.25">
      <c r="A65" s="10" t="s">
        <v>54</v>
      </c>
      <c r="B65" s="2">
        <v>45667</v>
      </c>
      <c r="C65" s="2">
        <v>45667</v>
      </c>
    </row>
    <row r="66" spans="1:3" x14ac:dyDescent="0.25">
      <c r="A66" s="7" t="s">
        <v>39</v>
      </c>
      <c r="B66" s="9">
        <f>_xll.qlBondAccruedAmount(B37,B65)</f>
        <v>0</v>
      </c>
      <c r="C66" s="9">
        <f>_xll.qlBondAccruedAmount(C37,C65)</f>
        <v>1.6666666666775853E-3</v>
      </c>
    </row>
    <row r="67" spans="1:3" x14ac:dyDescent="0.25">
      <c r="A67" s="7" t="s">
        <v>40</v>
      </c>
      <c r="B67" s="9">
        <f>_xll.qlBondSettlementValue(B37,B56)</f>
        <v>74.256548650898864</v>
      </c>
      <c r="C67" s="9">
        <f>_xll.qlBondSettlementValue(C37,C56)</f>
        <v>77.056060073688045</v>
      </c>
    </row>
    <row r="68" spans="1:3" x14ac:dyDescent="0.25">
      <c r="A68" s="7" t="s">
        <v>41</v>
      </c>
      <c r="B68" s="9">
        <f>_xll.qlBondSettlementValue2(B37,B57)</f>
        <v>74.256548650898864</v>
      </c>
      <c r="C68" s="9">
        <f>_xll.qlBondSettlementValue2(C37,C57)</f>
        <v>77.056060073688045</v>
      </c>
    </row>
    <row r="69" spans="1:3" x14ac:dyDescent="0.25">
      <c r="A69" s="10" t="s">
        <v>154</v>
      </c>
      <c r="B69" s="9" t="str">
        <f>_xll.qlFlatForward($B$1,0.03,"actual365fixed")</f>
        <v>欣[test_bonds.xlsx]AmortizingCmsRateBond!R69C2YieldTermStructureHandle,A</v>
      </c>
      <c r="C69" s="9" t="str">
        <f>_xll.qlFlatForward($B$1,0.03,"actual365fixed")</f>
        <v>欣[test_bonds.xlsx]AmortizingCmsRateBond!R69C3YieldTermStructureHandle,A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_xll.qlBondCleanPriceFromZSpread(B37,B69,B70,B71,B72,B73)</f>
        <v>68.658262971981003</v>
      </c>
      <c r="C75" s="3">
        <f>_xll.qlBondCleanPriceFromZSpread(C37,C69,C70,C71,C72,C73)</f>
        <v>71.307194575057778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B11" sqref="B11"/>
    </sheetView>
  </sheetViews>
  <sheetFormatPr baseColWidth="10" defaultColWidth="11.5703125" defaultRowHeight="15" x14ac:dyDescent="0.25"/>
  <cols>
    <col min="1" max="1" width="20" customWidth="1"/>
    <col min="2" max="2" width="45.42578125" style="3" customWidth="1"/>
    <col min="6" max="6" width="18.140625" customWidth="1"/>
  </cols>
  <sheetData>
    <row r="3" spans="1:2" x14ac:dyDescent="0.25">
      <c r="A3" t="s">
        <v>125</v>
      </c>
      <c r="B3" s="3" t="str">
        <f>_xll.qlBondPrice(100,"clean")</f>
        <v>欣[test_bonds.xlsx]Callability!R3C2BondPrice,A</v>
      </c>
    </row>
    <row r="4" spans="1:2" x14ac:dyDescent="0.25">
      <c r="A4" t="s">
        <v>126</v>
      </c>
      <c r="B4" s="3" t="s">
        <v>127</v>
      </c>
    </row>
    <row r="5" spans="1:2" x14ac:dyDescent="0.25">
      <c r="A5" t="s">
        <v>128</v>
      </c>
      <c r="B5" s="2">
        <v>46357</v>
      </c>
    </row>
    <row r="6" spans="1:2" x14ac:dyDescent="0.25">
      <c r="A6" s="4" t="s">
        <v>129</v>
      </c>
      <c r="B6" s="3" t="str">
        <f>_xll.qlCallability(B3,B4,B5)</f>
        <v>欣[test_bonds.xlsx]Callability!R6C2Callability,A</v>
      </c>
    </row>
    <row r="7" spans="1:2" x14ac:dyDescent="0.25">
      <c r="A7" s="4" t="s">
        <v>130</v>
      </c>
      <c r="B7" s="3" t="str">
        <f>_xll.qlCallabilityPrice(B6)</f>
        <v>欣[test_bonds.xlsx]Callability!R7C2BondPrice,A</v>
      </c>
    </row>
    <row r="8" spans="1:2" x14ac:dyDescent="0.25">
      <c r="A8" s="4" t="s">
        <v>131</v>
      </c>
      <c r="B8" s="2">
        <f>_xll.qlCallabilityDate(B6)</f>
        <v>46357</v>
      </c>
    </row>
    <row r="9" spans="1:2" x14ac:dyDescent="0.25">
      <c r="A9" s="4" t="s">
        <v>132</v>
      </c>
      <c r="B9" s="3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219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C104" sqref="C104"/>
    </sheetView>
  </sheetViews>
  <sheetFormatPr baseColWidth="10" defaultColWidth="11.5703125" defaultRowHeight="15" x14ac:dyDescent="0.25"/>
  <cols>
    <col min="1" max="1" width="47.7109375" customWidth="1"/>
    <col min="2" max="3" width="80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29" t="s">
        <v>14</v>
      </c>
      <c r="B4" s="30">
        <v>2</v>
      </c>
      <c r="C4" s="31">
        <v>2</v>
      </c>
    </row>
    <row r="5" spans="1:3" x14ac:dyDescent="0.25">
      <c r="A5" s="35" t="s">
        <v>15</v>
      </c>
      <c r="B5" s="33">
        <v>100</v>
      </c>
      <c r="C5" s="34">
        <v>100</v>
      </c>
    </row>
    <row r="6" spans="1:3" x14ac:dyDescent="0.25">
      <c r="A6" s="42" t="s">
        <v>73</v>
      </c>
      <c r="B6" s="43">
        <v>45659</v>
      </c>
      <c r="C6" s="44">
        <v>45659</v>
      </c>
    </row>
    <row r="7" spans="1:3" x14ac:dyDescent="0.25">
      <c r="A7" s="32" t="s">
        <v>74</v>
      </c>
      <c r="B7" s="45">
        <v>48215</v>
      </c>
      <c r="C7" s="46">
        <v>48215</v>
      </c>
    </row>
    <row r="8" spans="1:3" x14ac:dyDescent="0.25">
      <c r="A8" s="32" t="s">
        <v>46</v>
      </c>
      <c r="B8" s="47" t="s">
        <v>159</v>
      </c>
      <c r="C8" s="48" t="s">
        <v>159</v>
      </c>
    </row>
    <row r="9" spans="1:3" x14ac:dyDescent="0.25">
      <c r="A9" s="32" t="s">
        <v>60</v>
      </c>
      <c r="B9" s="47" t="str">
        <f>_xll.qlCalendar("TARGET")</f>
        <v>TARGET</v>
      </c>
      <c r="C9" s="48" t="str">
        <f>_xll.qlCalendar("TARGET")</f>
        <v>TARGET</v>
      </c>
    </row>
    <row r="10" spans="1:3" x14ac:dyDescent="0.25">
      <c r="A10" s="32" t="s">
        <v>47</v>
      </c>
      <c r="B10" s="47" t="s">
        <v>53</v>
      </c>
      <c r="C10" s="48" t="s">
        <v>53</v>
      </c>
    </row>
    <row r="11" spans="1:3" x14ac:dyDescent="0.25">
      <c r="A11" s="32" t="s">
        <v>75</v>
      </c>
      <c r="B11" s="47" t="s">
        <v>53</v>
      </c>
      <c r="C11" s="48" t="s">
        <v>53</v>
      </c>
    </row>
    <row r="12" spans="1:3" x14ac:dyDescent="0.25">
      <c r="A12" s="32" t="s">
        <v>77</v>
      </c>
      <c r="B12" s="47" t="s">
        <v>160</v>
      </c>
      <c r="C12" s="48" t="s">
        <v>160</v>
      </c>
    </row>
    <row r="13" spans="1:3" x14ac:dyDescent="0.25">
      <c r="A13" s="32" t="s">
        <v>78</v>
      </c>
      <c r="B13" s="47" t="b">
        <v>0</v>
      </c>
      <c r="C13" s="48" t="b">
        <v>0</v>
      </c>
    </row>
    <row r="14" spans="1:3" x14ac:dyDescent="0.25">
      <c r="A14" s="49" t="s">
        <v>65</v>
      </c>
      <c r="B14" s="40" t="str">
        <f>_xll.qlSchedule(B6,B7,B8,B9,B10,B11,B12,B13)</f>
        <v>欣[test_bonds.xlsx]CallableFixedRateBond!R14C2Schedule,A</v>
      </c>
      <c r="C14" s="41" t="str">
        <f>_xll.qlSchedule(C6,C7,C8,C9,C10,C11,C12,C13)</f>
        <v>欣[test_bonds.xlsx]CallableFixedRateBond!R14C3Schedule,A</v>
      </c>
    </row>
    <row r="15" spans="1:3" x14ac:dyDescent="0.25">
      <c r="A15" s="118" t="s">
        <v>66</v>
      </c>
      <c r="B15" s="33">
        <v>0.06</v>
      </c>
      <c r="C15" s="34">
        <v>0.03</v>
      </c>
    </row>
    <row r="16" spans="1:3" x14ac:dyDescent="0.25">
      <c r="A16" s="118"/>
      <c r="B16" s="33">
        <v>0.06</v>
      </c>
      <c r="C16" s="34">
        <v>0.03</v>
      </c>
    </row>
    <row r="17" spans="1:3" x14ac:dyDescent="0.25">
      <c r="A17" s="118"/>
      <c r="B17" s="33">
        <v>0.06</v>
      </c>
      <c r="C17" s="34">
        <v>0.03</v>
      </c>
    </row>
    <row r="18" spans="1:3" x14ac:dyDescent="0.25">
      <c r="A18" s="35" t="s">
        <v>83</v>
      </c>
      <c r="B18" s="33" t="s">
        <v>149</v>
      </c>
      <c r="C18" s="34" t="s">
        <v>134</v>
      </c>
    </row>
    <row r="19" spans="1:3" x14ac:dyDescent="0.25">
      <c r="A19" s="35" t="s">
        <v>84</v>
      </c>
      <c r="B19" s="33" t="s">
        <v>64</v>
      </c>
      <c r="C19" s="34" t="s">
        <v>64</v>
      </c>
    </row>
    <row r="20" spans="1:3" x14ac:dyDescent="0.25">
      <c r="A20" s="35" t="s">
        <v>63</v>
      </c>
      <c r="B20" s="33">
        <v>100</v>
      </c>
      <c r="C20" s="34">
        <v>100</v>
      </c>
    </row>
    <row r="21" spans="1:3" x14ac:dyDescent="0.25">
      <c r="A21" s="35" t="s">
        <v>17</v>
      </c>
      <c r="B21" s="52">
        <v>45659</v>
      </c>
      <c r="C21" s="53">
        <v>45659</v>
      </c>
    </row>
    <row r="22" spans="1:3" x14ac:dyDescent="0.25">
      <c r="A22" s="42" t="s">
        <v>120</v>
      </c>
      <c r="B22" s="50" t="str">
        <f>_xll.qlBondPrice(105,"CLEAN")</f>
        <v>欣[test_bonds.xlsx]CallableFixedRateBond!R22C2BondPrice,A</v>
      </c>
      <c r="C22" s="51" t="str">
        <f>_xll.qlBondPrice(105,"CLEAN")</f>
        <v>欣[test_bonds.xlsx]CallableFixedRateBond!R22C3BondPrice,A</v>
      </c>
    </row>
    <row r="23" spans="1:3" x14ac:dyDescent="0.25">
      <c r="A23" s="32" t="s">
        <v>126</v>
      </c>
      <c r="B23" s="52" t="s">
        <v>161</v>
      </c>
      <c r="C23" s="53" t="s">
        <v>161</v>
      </c>
    </row>
    <row r="24" spans="1:3" x14ac:dyDescent="0.25">
      <c r="A24" s="32" t="s">
        <v>135</v>
      </c>
      <c r="B24" s="52">
        <v>46754</v>
      </c>
      <c r="C24" s="53">
        <v>46754</v>
      </c>
    </row>
    <row r="25" spans="1:3" x14ac:dyDescent="0.25">
      <c r="A25" s="49" t="s">
        <v>133</v>
      </c>
      <c r="B25" s="40" t="str">
        <f>_xll.qlCallability(B22,B23,B24)</f>
        <v>欣[test_bonds.xlsx]CallableFixedRateBond!R25C2Callability,A</v>
      </c>
      <c r="C25" s="41" t="str">
        <f>_xll.qlCallability(C22,C23,C24)</f>
        <v>欣[test_bonds.xlsx]CallableFixedRateBond!R25C3Callability,A</v>
      </c>
    </row>
    <row r="26" spans="1:3" x14ac:dyDescent="0.25">
      <c r="A26" s="35" t="s">
        <v>69</v>
      </c>
      <c r="B26" s="33" t="s">
        <v>76</v>
      </c>
      <c r="C26" s="34" t="s">
        <v>76</v>
      </c>
    </row>
    <row r="27" spans="1:3" x14ac:dyDescent="0.25">
      <c r="A27" s="35" t="s">
        <v>70</v>
      </c>
      <c r="B27" s="33" t="str">
        <f>_xll.qlCalendar("TARGET")</f>
        <v>TARGET</v>
      </c>
      <c r="C27" s="34" t="str">
        <f>_xll.qlCalendar("TARGET")</f>
        <v>TARGET</v>
      </c>
    </row>
    <row r="28" spans="1:3" x14ac:dyDescent="0.25">
      <c r="A28" s="35" t="s">
        <v>71</v>
      </c>
      <c r="B28" s="33"/>
      <c r="C28" s="34" t="s">
        <v>64</v>
      </c>
    </row>
    <row r="29" spans="1:3" x14ac:dyDescent="0.25">
      <c r="A29" s="35" t="s">
        <v>72</v>
      </c>
      <c r="B29" s="33"/>
      <c r="C29" s="34" t="b">
        <v>1</v>
      </c>
    </row>
    <row r="30" spans="1:3" x14ac:dyDescent="0.25">
      <c r="A30" s="80" t="s">
        <v>136</v>
      </c>
      <c r="B30" s="78" t="str">
        <f>_xll.qlCallableFixedRateBond(B4,B5,B14,B15:B17,B18,B19,B20,B21,B25)</f>
        <v>欣[test_bonds.xlsx]CallableFixedRateBond!R30C2CallableFixedRateBond,A</v>
      </c>
      <c r="C30" s="79" t="str">
        <f>_xll.qlCallableFixedRateBond(C4,C5,C14,C15:C17,C18,C19,C20,C21,C25,C26,C27,C28,C29)</f>
        <v>欣[test_bonds.xlsx]CallableFixedRateBond!R30C3CallableFixedRateBond,A</v>
      </c>
    </row>
    <row r="31" spans="1:3" x14ac:dyDescent="0.25">
      <c r="A31" s="64" t="s">
        <v>20</v>
      </c>
      <c r="B31" s="65">
        <f>_xll.qlBondNextCouponRate(B30)</f>
        <v>0.06</v>
      </c>
      <c r="C31" s="65">
        <f>_xll.qlBondNextCouponRate(C30)</f>
        <v>0.03</v>
      </c>
    </row>
    <row r="32" spans="1:3" x14ac:dyDescent="0.25">
      <c r="A32" s="64" t="s">
        <v>21</v>
      </c>
      <c r="B32" s="65">
        <f>_xll.qlBondPreviousCouponRate(B30)</f>
        <v>0</v>
      </c>
      <c r="C32" s="65">
        <f>_xll.qlBondPreviousCouponRate(C30)</f>
        <v>0</v>
      </c>
    </row>
    <row r="33" spans="1:3" x14ac:dyDescent="0.25">
      <c r="A33" s="66" t="s">
        <v>22</v>
      </c>
      <c r="B33" s="67">
        <f>_xll.qlBondNextCashFlowDate(B30)</f>
        <v>45840</v>
      </c>
      <c r="C33" s="67">
        <f>_xll.qlBondNextCashFlowDate(C30)</f>
        <v>45840</v>
      </c>
    </row>
    <row r="34" spans="1:3" x14ac:dyDescent="0.25">
      <c r="A34" s="64" t="s">
        <v>23</v>
      </c>
      <c r="B34" s="67">
        <f>_xll.qlBondPreviousCashFlowDate(B30)</f>
        <v>0</v>
      </c>
      <c r="C34" s="67">
        <f>_xll.qlBondPreviousCashFlowDate(C30)</f>
        <v>0</v>
      </c>
    </row>
    <row r="35" spans="1:3" x14ac:dyDescent="0.25">
      <c r="A35" s="64" t="s">
        <v>24</v>
      </c>
      <c r="B35" s="65">
        <f>_xll.qlBondSettlementDays(B30)</f>
        <v>2</v>
      </c>
      <c r="C35" s="65">
        <f>_xll.qlBondSettlementDays(C30)</f>
        <v>2</v>
      </c>
    </row>
    <row r="36" spans="1:3" x14ac:dyDescent="0.25">
      <c r="A36" s="64" t="s">
        <v>25</v>
      </c>
      <c r="B36" s="67">
        <f>_xll.qlBondSettlementDate(B30)</f>
        <v>45663</v>
      </c>
      <c r="C36" s="67">
        <f>_xll.qlBondSettlementDate(C30)</f>
        <v>45663</v>
      </c>
    </row>
    <row r="37" spans="1:3" x14ac:dyDescent="0.25">
      <c r="A37" s="66" t="s">
        <v>26</v>
      </c>
      <c r="B37" s="65" t="b">
        <f>_xll.qlBondIsTradable(B30)</f>
        <v>1</v>
      </c>
      <c r="C37" s="65" t="b">
        <f>_xll.qlBondIsTradable(C30)</f>
        <v>1</v>
      </c>
    </row>
    <row r="38" spans="1:3" x14ac:dyDescent="0.25">
      <c r="A38" s="64" t="s">
        <v>27</v>
      </c>
      <c r="B38" s="67">
        <f>_xll.qlBondStartDate(B30)</f>
        <v>45659</v>
      </c>
      <c r="C38" s="67">
        <f>_xll.qlBondStartDate(C30)</f>
        <v>45659</v>
      </c>
    </row>
    <row r="39" spans="1:3" x14ac:dyDescent="0.25">
      <c r="A39" s="64" t="s">
        <v>28</v>
      </c>
      <c r="B39" s="67">
        <f>_xll.qlBondMaturityDate(B30)</f>
        <v>48215</v>
      </c>
      <c r="C39" s="67">
        <f>_xll.qlBondMaturityDate(C30)</f>
        <v>48215</v>
      </c>
    </row>
    <row r="40" spans="1:3" x14ac:dyDescent="0.25">
      <c r="A40" s="64" t="s">
        <v>29</v>
      </c>
      <c r="B40" s="67">
        <f>_xll.qlBondIssueDate(B30)</f>
        <v>45659</v>
      </c>
      <c r="C40" s="67">
        <f>_xll.qlBondIssueDate(C30)</f>
        <v>45659</v>
      </c>
    </row>
    <row r="41" spans="1:3" x14ac:dyDescent="0.25">
      <c r="A41" s="66" t="s">
        <v>30</v>
      </c>
      <c r="B41" s="65" t="str">
        <f>_xll.qlBondCashFlows(B30)</f>
        <v>欣[test_bonds.xlsx]CallableFixedRateBond!R41C2CashFlow,A</v>
      </c>
      <c r="C41" s="65" t="str">
        <f>_xll.qlBondCashFlows(C30)</f>
        <v>欣[test_bonds.xlsx]CallableFixedRateBond!R41C3CashFlow,A</v>
      </c>
    </row>
    <row r="42" spans="1:3" x14ac:dyDescent="0.25">
      <c r="A42" s="64" t="s">
        <v>57</v>
      </c>
      <c r="B42" s="65" t="str">
        <f>_xll.qlBondRedemption(B30)</f>
        <v>欣[test_bonds.xlsx]CallableFixedRateBond!R42C2CashFlow,A</v>
      </c>
      <c r="C42" s="65" t="str">
        <f>_xll.qlBondRedemption(C30)</f>
        <v>欣[test_bonds.xlsx]CallableFixedRateBond!R42C3CashFlow,A</v>
      </c>
    </row>
    <row r="43" spans="1:3" x14ac:dyDescent="0.25">
      <c r="A43" s="64" t="s">
        <v>58</v>
      </c>
      <c r="B43" s="65" t="str">
        <f>_xll.qlBondRedemptions(B30)</f>
        <v>欣[test_bonds.xlsx]CallableFixedRateBond!R43C2CashFlow,A</v>
      </c>
      <c r="C43" s="65" t="str">
        <f>_xll.qlBondRedemptions(C30)</f>
        <v>欣[test_bonds.xlsx]CallableFixedRateBond!R43C3CashFlow,A</v>
      </c>
    </row>
    <row r="44" spans="1:3" x14ac:dyDescent="0.25">
      <c r="A44" s="64" t="s">
        <v>31</v>
      </c>
      <c r="B44" s="65" t="str">
        <f>_xll.qlBondCalendar(B30)</f>
        <v>TARGET</v>
      </c>
      <c r="C44" s="65" t="str">
        <f>_xll.qlBondCalendar(C30)</f>
        <v>TARGET</v>
      </c>
    </row>
    <row r="45" spans="1:3" x14ac:dyDescent="0.25">
      <c r="A45" s="66" t="s">
        <v>32</v>
      </c>
      <c r="B45" s="65">
        <f>_xll.qlBondNotional(B30)</f>
        <v>100</v>
      </c>
      <c r="C45" s="65">
        <f>_xll.qlBondNotional(C30)</f>
        <v>100</v>
      </c>
    </row>
    <row r="46" spans="1:3" x14ac:dyDescent="0.25">
      <c r="A46" s="66" t="s">
        <v>59</v>
      </c>
      <c r="B46" s="65">
        <f>_xll.qlBondNotionals(B30)</f>
        <v>100</v>
      </c>
      <c r="C46" s="65">
        <f>_xll.qlBondNotionals(C30)</f>
        <v>100</v>
      </c>
    </row>
    <row r="47" spans="1:3" x14ac:dyDescent="0.25">
      <c r="A47" s="55" t="s">
        <v>138</v>
      </c>
      <c r="B47" s="30">
        <v>0.2</v>
      </c>
      <c r="C47" s="31">
        <v>0.2</v>
      </c>
    </row>
    <row r="48" spans="1:3" x14ac:dyDescent="0.25">
      <c r="A48" s="38" t="s">
        <v>110</v>
      </c>
      <c r="B48" s="33" t="str">
        <f>_xll.qlFlatForward($B$2,0.03,"actual360")</f>
        <v>欣[test_bonds.xlsx]CallableFixedRateBond!R48C2YieldTermStructureHandle,A</v>
      </c>
      <c r="C48" s="34" t="str">
        <f>_xll.qlFlatForward($B$2,0.03,"actual360")</f>
        <v>欣[test_bonds.xlsx]CallableFixedRateBond!R48C3YieldTermStructureHandle,A</v>
      </c>
    </row>
    <row r="49" spans="1:3" x14ac:dyDescent="0.25">
      <c r="A49" s="54" t="s">
        <v>137</v>
      </c>
      <c r="B49" s="40" t="str">
        <f>_xll.qlBlackCallableFixedRateBondEngine(B47,B48)</f>
        <v>欣[test_bonds.xlsx]CallableFixedRateBond!R49C2BlackCallableFixedRateBondEngine,A</v>
      </c>
      <c r="C49" s="41" t="str">
        <f>_xll.qlBlackCallableFixedRateBondEngine(C47,C48)</f>
        <v>欣[test_bonds.xlsx]CallableFixedRateBond!R49C3BlackCallableFixedRateBondEngine,A</v>
      </c>
    </row>
    <row r="50" spans="1:3" x14ac:dyDescent="0.25">
      <c r="A50" s="38" t="s">
        <v>150</v>
      </c>
      <c r="B50" s="33" t="b">
        <f>_xll.qlInstrumentSetPricingEngine(B30,B49)</f>
        <v>1</v>
      </c>
      <c r="C50" s="34" t="b">
        <f>_xll.qlInstrumentSetPricingEngine(C30,C49)</f>
        <v>1</v>
      </c>
    </row>
    <row r="51" spans="1:3" x14ac:dyDescent="0.25">
      <c r="A51" s="37" t="s">
        <v>33</v>
      </c>
      <c r="B51" s="81">
        <f>_xll.qlBondCleanPrice(B30,B50)</f>
        <v>110.09602977203045</v>
      </c>
      <c r="C51" s="82">
        <f>_xll.qlBondCleanPrice(C30,C50)</f>
        <v>99.448292731770522</v>
      </c>
    </row>
    <row r="52" spans="1:3" x14ac:dyDescent="0.25">
      <c r="A52" s="56" t="s">
        <v>56</v>
      </c>
      <c r="B52" s="57">
        <v>2.8928264971926201E-2</v>
      </c>
      <c r="C52" s="58">
        <v>2.8928264971926201E-2</v>
      </c>
    </row>
    <row r="53" spans="1:3" x14ac:dyDescent="0.25">
      <c r="A53" s="39" t="s">
        <v>34</v>
      </c>
      <c r="B53" s="59">
        <f>_xll.qlBondCleanPrice2(B30,B52,"actual360","continuous")</f>
        <v>119.09555910006989</v>
      </c>
      <c r="C53" s="60">
        <f>_xll.qlBondCleanPrice2(C30,C52,"actual360","continuous")</f>
        <v>100.54551097389133</v>
      </c>
    </row>
    <row r="54" spans="1:3" x14ac:dyDescent="0.25">
      <c r="A54" s="37" t="s">
        <v>35</v>
      </c>
      <c r="B54" s="72">
        <f>_xll.qlBondDirtyPrice(B30,B50)</f>
        <v>110.16269643869711</v>
      </c>
      <c r="C54" s="73">
        <f>_xll.qlBondDirtyPrice(C30,C50)</f>
        <v>99.481626065103853</v>
      </c>
    </row>
    <row r="55" spans="1:3" x14ac:dyDescent="0.25">
      <c r="A55" s="61" t="s">
        <v>36</v>
      </c>
      <c r="B55" s="62">
        <f>_xll.qlBondDirtyPrice2(B30,B52,"actual360","CONTINUOUS","annual")</f>
        <v>119.16222576673655</v>
      </c>
      <c r="C55" s="63">
        <f>_xll.qlBondDirtyPrice2(C30,C52,"actual360","CONTINUOUS","annual")</f>
        <v>100.57884430722466</v>
      </c>
    </row>
    <row r="56" spans="1:3" x14ac:dyDescent="0.25">
      <c r="A56" s="37" t="s">
        <v>37</v>
      </c>
      <c r="B56" s="72">
        <f>_xll.qlBondYield(B30,"actual360","CONTINUOUS","annual",,,B50)</f>
        <v>4.2056273937225358E-2</v>
      </c>
      <c r="C56" s="73">
        <f>_xll.qlBondYield(C30,"actual360","CONTINUOUS","annual",,,C50)</f>
        <v>3.0632255029678354E-2</v>
      </c>
    </row>
    <row r="57" spans="1:3" x14ac:dyDescent="0.25">
      <c r="A57" s="56" t="s">
        <v>120</v>
      </c>
      <c r="B57" s="57" t="str">
        <f>_xll.qlBondPrice(B51,"clean")</f>
        <v>欣[test_bonds.xlsx]CallableFixedRateBond!R57C2BondPrice,A</v>
      </c>
      <c r="C57" s="58" t="str">
        <f>_xll.qlBondPrice(C51,"clean")</f>
        <v>欣[test_bonds.xlsx]CallableFixedRateBond!R57C3BondPrice,A</v>
      </c>
    </row>
    <row r="58" spans="1:3" x14ac:dyDescent="0.25">
      <c r="A58" s="39" t="s">
        <v>38</v>
      </c>
      <c r="B58" s="59">
        <f>_xll.qlBondYield2(B30,B57,"actual360","CONTINUOUS","annual")</f>
        <v>4.2157923221588151E-2</v>
      </c>
      <c r="C58" s="60">
        <f>_xll.qlBondYield2(C30,C57,"actual360","CONTINUOUS","annual")</f>
        <v>3.0684329366683964E-2</v>
      </c>
    </row>
    <row r="59" spans="1:3" x14ac:dyDescent="0.25">
      <c r="A59" s="56" t="s">
        <v>54</v>
      </c>
      <c r="B59" s="50">
        <v>45667</v>
      </c>
      <c r="C59" s="51">
        <v>45667</v>
      </c>
    </row>
    <row r="60" spans="1:3" x14ac:dyDescent="0.25">
      <c r="A60" s="39" t="s">
        <v>39</v>
      </c>
      <c r="B60" s="59">
        <f>_xll.qlBondAccruedAmount(B30,B59)</f>
        <v>0.13333333333334085</v>
      </c>
      <c r="C60" s="60">
        <f>_xll.qlBondAccruedAmount(C30,C59)</f>
        <v>6.6666666666659324E-2</v>
      </c>
    </row>
    <row r="61" spans="1:3" x14ac:dyDescent="0.25">
      <c r="A61" s="66" t="s">
        <v>40</v>
      </c>
      <c r="B61" s="68">
        <f>_xll.qlBondSettlementValue(B30,B50)</f>
        <v>110.16269643869711</v>
      </c>
      <c r="C61" s="68">
        <f>_xll.qlBondSettlementValue(C30,C50)</f>
        <v>99.481626065103839</v>
      </c>
    </row>
    <row r="62" spans="1:3" x14ac:dyDescent="0.25">
      <c r="A62" s="66" t="s">
        <v>41</v>
      </c>
      <c r="B62" s="68">
        <f>_xll.qlBondSettlementValue2(B30,B51)</f>
        <v>110.16269643869711</v>
      </c>
      <c r="C62" s="68">
        <f>_xll.qlBondSettlementValue2(C30,C51)</f>
        <v>99.481626065103853</v>
      </c>
    </row>
    <row r="63" spans="1:3" x14ac:dyDescent="0.25">
      <c r="A63" s="69" t="s">
        <v>139</v>
      </c>
      <c r="B63" s="70" t="str">
        <f>_xll.qlCallableBondCallability(B30)</f>
        <v>欣[test_bonds.xlsx]CallableFixedRateBond!R63C2Callability,A</v>
      </c>
      <c r="C63" s="70" t="str">
        <f>_xll.qlCallableBondCallability(C30)</f>
        <v>欣[test_bonds.xlsx]CallableFixedRateBond!R63C3Callability,A</v>
      </c>
    </row>
    <row r="64" spans="1:3" x14ac:dyDescent="0.25">
      <c r="A64" s="56" t="s">
        <v>153</v>
      </c>
      <c r="B64" s="30" t="str">
        <f>_xll.qlBondPrice(B51,"Clean")</f>
        <v>欣[test_bonds.xlsx]CallableFixedRateBond!R64C2BondPrice,A</v>
      </c>
      <c r="C64" s="31" t="str">
        <f>_xll.qlBondPrice(C51,"Clean")</f>
        <v>欣[test_bonds.xlsx]CallableFixedRateBond!R64C3BondPrice,A</v>
      </c>
    </row>
    <row r="65" spans="1:3" x14ac:dyDescent="0.25">
      <c r="A65" s="36" t="s">
        <v>154</v>
      </c>
      <c r="B65" s="33" t="str">
        <f>_xll.qlFlatForward($B$1,0.03,"actual365fixed")</f>
        <v>欣[test_bonds.xlsx]CallableFixedRateBond!R65C2YieldTermStructureHandle,A</v>
      </c>
      <c r="C65" s="34" t="str">
        <f>_xll.qlFlatForward($B$1,0.03,"actual365fixed")</f>
        <v>欣[test_bonds.xlsx]CallableFixedRateBond!R65C3YieldTermStructureHandle,A</v>
      </c>
    </row>
    <row r="66" spans="1:3" x14ac:dyDescent="0.25">
      <c r="A66" s="36" t="s">
        <v>155</v>
      </c>
      <c r="B66" s="71">
        <v>9.9999999999999995E-7</v>
      </c>
      <c r="C66" s="74">
        <v>9.9999999999999995E-7</v>
      </c>
    </row>
    <row r="67" spans="1:3" x14ac:dyDescent="0.25">
      <c r="A67" s="36" t="s">
        <v>156</v>
      </c>
      <c r="B67" s="33">
        <v>100</v>
      </c>
      <c r="C67" s="34">
        <v>100</v>
      </c>
    </row>
    <row r="68" spans="1:3" x14ac:dyDescent="0.25">
      <c r="A68" s="36" t="s">
        <v>157</v>
      </c>
      <c r="B68" s="33">
        <v>0.01</v>
      </c>
      <c r="C68" s="34">
        <v>0.01</v>
      </c>
    </row>
    <row r="69" spans="1:3" x14ac:dyDescent="0.25">
      <c r="A69" s="36" t="s">
        <v>158</v>
      </c>
      <c r="B69" s="33">
        <v>0.5</v>
      </c>
      <c r="C69" s="34">
        <v>0.5</v>
      </c>
    </row>
    <row r="70" spans="1:3" x14ac:dyDescent="0.25">
      <c r="A70" s="75" t="s">
        <v>140</v>
      </c>
      <c r="B70" s="76">
        <f>_xll.qlCallableBondImpliedVolatility(B30,B64,B65,B66,B67,B68,B69)</f>
        <v>0.32447524793161092</v>
      </c>
      <c r="C70" s="77">
        <f>_xll.qlCallableBondImpliedVolatility(C30,C64,C65,C66,C67,C68,C69)</f>
        <v>0.25030192954114117</v>
      </c>
    </row>
    <row r="71" spans="1:3" x14ac:dyDescent="0.25">
      <c r="A71" s="83" t="s">
        <v>141</v>
      </c>
      <c r="B71" s="33">
        <f>FIND("RuntimeError: RuntimeError: unable to bracket root in 1000 function evaluations",_xll.qlCallableBondOAS(B30,105,B48,"Actual/360","Simple","Annual",,,1000,,B50))</f>
        <v>1</v>
      </c>
      <c r="C71" s="34">
        <f>FIND("RuntimeError: RuntimeError: unable to bracket root in 1000 function evaluations",_xll.qlCallableBondOAS(C30,105,C48,"Actual/360","Simple","Annual",,,1000,,C50))</f>
        <v>1</v>
      </c>
    </row>
    <row r="72" spans="1:3" x14ac:dyDescent="0.25">
      <c r="A72" s="61" t="s">
        <v>142</v>
      </c>
      <c r="B72" s="78">
        <f>_xll.qlCallableBondCleanPriceOAS(B30,0.3,B48,"actual/360","simple","annual",,B50)</f>
        <v>110.05931499268738</v>
      </c>
      <c r="C72" s="79">
        <f>_xll.qlCallableBondCleanPriceOAS(C30,0.3,C48,"actual/360","simple","annual",,C50)</f>
        <v>99.415137715891774</v>
      </c>
    </row>
    <row r="73" spans="1:3" x14ac:dyDescent="0.25">
      <c r="A73" s="61" t="s">
        <v>143</v>
      </c>
      <c r="B73" s="78">
        <f>_xll.qlCallableBondEffectiveDuration(B30,0.3,B48,"actual/360","compounded","annual",,B50)</f>
        <v>0</v>
      </c>
      <c r="C73" s="79">
        <f>_xll.qlCallableBondEffectiveDuration(C30,0.3,C48,"actual/360","compounded","annual",,C50)</f>
        <v>0</v>
      </c>
    </row>
    <row r="74" spans="1:3" x14ac:dyDescent="0.25">
      <c r="A74" s="37" t="s">
        <v>144</v>
      </c>
      <c r="B74" s="33">
        <f>_xll.qlCallableBondEffectiveConvexity(B30,0.3,B48,"actual/360","compounded","annual",,B50)</f>
        <v>0</v>
      </c>
      <c r="C74" s="34">
        <f>_xll.qlCallableBondEffectiveConvexity(C30,0.3,C48,"actual/360","compounded","annual",,C50)</f>
        <v>0</v>
      </c>
    </row>
    <row r="75" spans="1:3" x14ac:dyDescent="0.25">
      <c r="A75" s="56" t="s">
        <v>154</v>
      </c>
      <c r="B75" s="57" t="str">
        <f>_xll.qlFlatForward($B$1,0.03,"actual365fixed")</f>
        <v>欣[test_bonds.xlsx]CallableFixedRateBond!R75C2YieldTermStructureHandle,A</v>
      </c>
      <c r="C75" s="58" t="str">
        <f>_xll.qlFlatForward($B$1,0.03,"actual365fixed")</f>
        <v>欣[test_bonds.xlsx]CallableFixedRateBond!R75C3YieldTermStructureHandle,A</v>
      </c>
    </row>
    <row r="76" spans="1:3" x14ac:dyDescent="0.25">
      <c r="A76" s="36" t="s">
        <v>163</v>
      </c>
      <c r="B76" s="72">
        <v>5.0000000000000001E-3</v>
      </c>
      <c r="C76" s="73">
        <v>5.0000000000000001E-3</v>
      </c>
    </row>
    <row r="77" spans="1:3" x14ac:dyDescent="0.25">
      <c r="A77" s="36" t="s">
        <v>165</v>
      </c>
      <c r="B77" s="72" t="s">
        <v>168</v>
      </c>
      <c r="C77" s="73" t="s">
        <v>168</v>
      </c>
    </row>
    <row r="78" spans="1:3" x14ac:dyDescent="0.25">
      <c r="A78" s="36" t="s">
        <v>164</v>
      </c>
      <c r="B78" s="72" t="s">
        <v>169</v>
      </c>
      <c r="C78" s="73" t="s">
        <v>169</v>
      </c>
    </row>
    <row r="79" spans="1:3" x14ac:dyDescent="0.25">
      <c r="A79" s="36" t="s">
        <v>166</v>
      </c>
      <c r="B79" s="72" t="s">
        <v>170</v>
      </c>
      <c r="C79" s="73" t="s">
        <v>170</v>
      </c>
    </row>
    <row r="80" spans="1:3" x14ac:dyDescent="0.25">
      <c r="A80" s="36" t="s">
        <v>167</v>
      </c>
      <c r="B80" s="72"/>
      <c r="C80" s="73"/>
    </row>
    <row r="81" spans="1:3" x14ac:dyDescent="0.25">
      <c r="A81" s="39" t="s">
        <v>162</v>
      </c>
      <c r="B81" s="40">
        <f>_xll.qlBondCleanPriceFromZSpread(B30,B75,B76,B77,B78,B79)</f>
        <v>115.27440939680005</v>
      </c>
      <c r="C81" s="41">
        <f>_xll.qlBondCleanPriceFromZSpread(C30,C75,C76,C77,C78,C79)</f>
        <v>97.090069430863338</v>
      </c>
    </row>
    <row r="83" spans="1:3" x14ac:dyDescent="0.25">
      <c r="A83" s="29" t="s">
        <v>171</v>
      </c>
      <c r="B83" s="30" t="str">
        <f>_xll.qlCallableFixedRateBond(B4,B5,B14,B15:B17,B18,B19,B20,B21,B25)</f>
        <v>欣[test_bonds.xlsx]CallableFixedRateBond!R83C2CallableFixedRateBond,A</v>
      </c>
      <c r="C83" s="31" t="str">
        <f>_xll.qlCallableFixedRateBond(C4,C5,C14,C15:C17,C18,C19,C20,C21,C25)</f>
        <v>欣[test_bonds.xlsx]CallableFixedRateBond!R83C3CallableFixedRateBond,A</v>
      </c>
    </row>
    <row r="84" spans="1:3" x14ac:dyDescent="0.25">
      <c r="A84" s="32" t="s">
        <v>172</v>
      </c>
      <c r="B84" s="33" t="str">
        <f>_xll.qlFlatForward($B$1,0.02,"actual365fixed")</f>
        <v>欣[test_bonds.xlsx]CallableFixedRateBond!R84C2YieldTermStructureHandle,A</v>
      </c>
      <c r="C84" s="34" t="str">
        <f>_xll.qlFlatForward($B$1,0.02,"actual365fixed")</f>
        <v>欣[test_bonds.xlsx]CallableFixedRateBond!R84C3YieldTermStructureHandle,A</v>
      </c>
    </row>
    <row r="85" spans="1:3" x14ac:dyDescent="0.25">
      <c r="A85" s="32" t="s">
        <v>173</v>
      </c>
      <c r="B85" s="33">
        <v>0.03</v>
      </c>
      <c r="C85" s="34">
        <v>0.03</v>
      </c>
    </row>
    <row r="86" spans="1:3" x14ac:dyDescent="0.25">
      <c r="A86" s="32" t="s">
        <v>174</v>
      </c>
      <c r="B86" s="33">
        <v>0.01</v>
      </c>
      <c r="C86" s="34">
        <v>0.01</v>
      </c>
    </row>
    <row r="87" spans="1:3" x14ac:dyDescent="0.25">
      <c r="A87" s="35" t="s">
        <v>175</v>
      </c>
      <c r="B87" s="33" t="str">
        <f>_xll.qlHullWhite(B84,B85,B86)</f>
        <v>欣[test_bonds.xlsx]CallableFixedRateBond!R87C2HullWhite,A</v>
      </c>
      <c r="C87" s="34" t="str">
        <f>_xll.qlHullWhite(C84,C85,C86)</f>
        <v>欣[test_bonds.xlsx]CallableFixedRateBond!R87C3HullWhite,A</v>
      </c>
    </row>
    <row r="88" spans="1:3" x14ac:dyDescent="0.25">
      <c r="A88" s="36" t="s">
        <v>176</v>
      </c>
      <c r="B88" s="33">
        <v>100</v>
      </c>
      <c r="C88" s="34">
        <v>100</v>
      </c>
    </row>
    <row r="89" spans="1:3" x14ac:dyDescent="0.25">
      <c r="A89" s="37" t="s">
        <v>177</v>
      </c>
      <c r="B89" s="33" t="str">
        <f>_xll.qlTreeCallableFixedRateBondEngine(B87,B88)</f>
        <v>欣[test_bonds.xlsx]CallableFixedRateBond!R89C2TreeCallableFixedRateBondEngine,A</v>
      </c>
      <c r="C89" s="34" t="str">
        <f>_xll.qlTreeCallableFixedRateBondEngine(C87,C88)</f>
        <v>欣[test_bonds.xlsx]CallableFixedRateBond!R89C3TreeCallableFixedRateBondEngine,A</v>
      </c>
    </row>
    <row r="90" spans="1:3" x14ac:dyDescent="0.25">
      <c r="A90" s="38" t="s">
        <v>150</v>
      </c>
      <c r="B90" s="33" t="b">
        <f>_xll.qlInstrumentSetPricingEngine(B83,B89)</f>
        <v>1</v>
      </c>
      <c r="C90" s="34" t="b">
        <f>_xll.qlInstrumentSetPricingEngine(C83,C89)</f>
        <v>1</v>
      </c>
    </row>
    <row r="91" spans="1:3" x14ac:dyDescent="0.25">
      <c r="A91" s="39" t="s">
        <v>33</v>
      </c>
      <c r="B91" s="40">
        <f>_xll.qlBondCleanPrice(B83,B90)</f>
        <v>113.36825228071841</v>
      </c>
      <c r="C91" s="41">
        <f>_xll.qlBondCleanPrice(C83,C90)</f>
        <v>104.15316507210984</v>
      </c>
    </row>
    <row r="92" spans="1:3" x14ac:dyDescent="0.25">
      <c r="A92" s="29" t="s">
        <v>179</v>
      </c>
      <c r="B92" s="30" t="str">
        <f>_xll.qlCallableFixedRateBond(B4,B5,B14,B15:B17,B18,B19,B20,B21,B25)</f>
        <v>欣[test_bonds.xlsx]CallableFixedRateBond!R92C2CallableFixedRateBond,A</v>
      </c>
      <c r="C92" s="31" t="str">
        <f>_xll.qlCallableFixedRateBond(C4,C5,C14,C15:C17,C18,C19,C20,C21,C25)</f>
        <v>欣[test_bonds.xlsx]CallableFixedRateBond!R92C3CallableFixedRateBond,A</v>
      </c>
    </row>
    <row r="93" spans="1:3" x14ac:dyDescent="0.25">
      <c r="A93" s="32" t="s">
        <v>172</v>
      </c>
      <c r="B93" s="33" t="str">
        <f>_xll.qlFlatForward($B$1,0.02,"actual365fixed")</f>
        <v>欣[test_bonds.xlsx]CallableFixedRateBond!R93C2YieldTermStructureHandle,A</v>
      </c>
      <c r="C93" s="34" t="str">
        <f>_xll.qlFlatForward($B$1,0.02,"actual365fixed")</f>
        <v>欣[test_bonds.xlsx]CallableFixedRateBond!R93C3YieldTermStructureHandle,A</v>
      </c>
    </row>
    <row r="94" spans="1:3" x14ac:dyDescent="0.25">
      <c r="A94" s="32" t="s">
        <v>173</v>
      </c>
      <c r="B94" s="33">
        <v>0.03</v>
      </c>
      <c r="C94" s="34">
        <v>0.03</v>
      </c>
    </row>
    <row r="95" spans="1:3" x14ac:dyDescent="0.25">
      <c r="A95" s="32" t="s">
        <v>174</v>
      </c>
      <c r="B95" s="33">
        <v>0.01</v>
      </c>
      <c r="C95" s="34">
        <v>0.01</v>
      </c>
    </row>
    <row r="96" spans="1:3" x14ac:dyDescent="0.25">
      <c r="A96" s="35" t="s">
        <v>175</v>
      </c>
      <c r="B96" s="33" t="str">
        <f>_xll.qlHullWhite(B93,B94,B95)</f>
        <v>欣[test_bonds.xlsx]CallableFixedRateBond!R96C2HullWhite,A</v>
      </c>
      <c r="C96" s="34" t="str">
        <f>_xll.qlHullWhite(C93,C94,C95)</f>
        <v>欣[test_bonds.xlsx]CallableFixedRateBond!R96C3HullWhite,A</v>
      </c>
    </row>
    <row r="97" spans="1:3" x14ac:dyDescent="0.25">
      <c r="A97" s="36" t="s">
        <v>180</v>
      </c>
      <c r="B97" s="33" t="str">
        <f>_xll.qlTimeGridFromTimes(B104:B219)</f>
        <v>欣[test_bonds.xlsx]CallableFixedRateBond!R97C2TimeGrid,A</v>
      </c>
      <c r="C97" s="34" t="str">
        <f>_xll.qlTimeGridFromTimes(B104:B219)</f>
        <v>欣[test_bonds.xlsx]CallableFixedRateBond!R97C3TimeGrid,A</v>
      </c>
    </row>
    <row r="98" spans="1:3" x14ac:dyDescent="0.25">
      <c r="A98" s="37" t="s">
        <v>177</v>
      </c>
      <c r="B98" s="33" t="str">
        <f>_xll.qlTreeCallableFixedRateBondEngine2(B96,B97)</f>
        <v>欣[test_bonds.xlsx]CallableFixedRateBond!R98C2TreeCallableFixedRateBondEngine,A</v>
      </c>
      <c r="C98" s="34" t="str">
        <f>_xll.qlTreeCallableFixedRateBondEngine2(C96,C97)</f>
        <v>欣[test_bonds.xlsx]CallableFixedRateBond!R98C3TreeCallableFixedRateBondEngine,A</v>
      </c>
    </row>
    <row r="99" spans="1:3" x14ac:dyDescent="0.25">
      <c r="A99" s="38" t="s">
        <v>150</v>
      </c>
      <c r="B99" s="33" t="b">
        <f>_xll.qlInstrumentSetPricingEngine(B92,B98)</f>
        <v>1</v>
      </c>
      <c r="C99" s="34" t="b">
        <f>_xll.qlInstrumentSetPricingEngine(C92,C98)</f>
        <v>1</v>
      </c>
    </row>
    <row r="100" spans="1:3" x14ac:dyDescent="0.25">
      <c r="A100" s="39" t="s">
        <v>33</v>
      </c>
      <c r="B100" s="40">
        <f>_xll.qlBondCleanPrice(B92,B99)</f>
        <v>113.36581391762972</v>
      </c>
      <c r="C100" s="41">
        <f>_xll.qlBondCleanPrice(C92,C99)</f>
        <v>104.21047805357765</v>
      </c>
    </row>
    <row r="104" spans="1:3" x14ac:dyDescent="0.25">
      <c r="A104" t="s">
        <v>178</v>
      </c>
      <c r="B104" s="3">
        <v>0</v>
      </c>
    </row>
    <row r="105" spans="1:3" x14ac:dyDescent="0.25">
      <c r="B105" s="3">
        <v>0.49589041095890402</v>
      </c>
    </row>
    <row r="106" spans="1:3" x14ac:dyDescent="0.25">
      <c r="B106" s="3">
        <v>1</v>
      </c>
    </row>
    <row r="107" spans="1:3" x14ac:dyDescent="0.25">
      <c r="B107" s="3">
        <v>1.4958904109589</v>
      </c>
    </row>
    <row r="108" spans="1:3" x14ac:dyDescent="0.25">
      <c r="B108" s="3">
        <v>2.0054794520547898</v>
      </c>
    </row>
    <row r="109" spans="1:3" x14ac:dyDescent="0.25">
      <c r="B109" s="3">
        <v>2.4958904109589</v>
      </c>
    </row>
    <row r="110" spans="1:3" x14ac:dyDescent="0.25">
      <c r="B110" s="3">
        <v>3</v>
      </c>
    </row>
    <row r="111" spans="1:3" x14ac:dyDescent="0.25">
      <c r="B111" s="3">
        <v>3.0027397260273898</v>
      </c>
    </row>
    <row r="112" spans="1:3" x14ac:dyDescent="0.25">
      <c r="B112" s="3">
        <v>3.5013698630136898</v>
      </c>
    </row>
    <row r="113" spans="2:2" x14ac:dyDescent="0.25">
      <c r="B113" s="3">
        <v>4.0027397260273903</v>
      </c>
    </row>
    <row r="114" spans="2:2" x14ac:dyDescent="0.25">
      <c r="B114" s="3">
        <v>4.4986301369863</v>
      </c>
    </row>
    <row r="115" spans="2:2" x14ac:dyDescent="0.25">
      <c r="B115" s="3">
        <v>5.0027397260273903</v>
      </c>
    </row>
    <row r="116" spans="2:2" x14ac:dyDescent="0.25">
      <c r="B116" s="3">
        <v>5.4986301369863</v>
      </c>
    </row>
    <row r="117" spans="2:2" x14ac:dyDescent="0.25">
      <c r="B117" s="3">
        <v>6.0027397260273903</v>
      </c>
    </row>
    <row r="118" spans="2:2" x14ac:dyDescent="0.25">
      <c r="B118" s="3">
        <v>6.4986301369863</v>
      </c>
    </row>
    <row r="119" spans="2:2" x14ac:dyDescent="0.25">
      <c r="B119" s="3">
        <v>7.0027397260273903</v>
      </c>
    </row>
    <row r="120" spans="2:2" x14ac:dyDescent="0.25">
      <c r="B120" s="3">
        <v>7.0077397260273901</v>
      </c>
    </row>
    <row r="121" spans="2:2" x14ac:dyDescent="0.25">
      <c r="B121" s="3">
        <v>7.01273972602739</v>
      </c>
    </row>
    <row r="122" spans="2:2" x14ac:dyDescent="0.25">
      <c r="B122" s="3">
        <v>7.0177397260273899</v>
      </c>
    </row>
    <row r="123" spans="2:2" x14ac:dyDescent="0.25">
      <c r="B123" s="3">
        <v>7.0227397260273898</v>
      </c>
    </row>
    <row r="124" spans="2:2" x14ac:dyDescent="0.25">
      <c r="B124" s="3">
        <v>7.0277397260273897</v>
      </c>
    </row>
    <row r="125" spans="2:2" x14ac:dyDescent="0.25">
      <c r="B125" s="3">
        <v>7.0327397260273896</v>
      </c>
    </row>
    <row r="126" spans="2:2" x14ac:dyDescent="0.25">
      <c r="B126" s="3">
        <v>7.0377397260273904</v>
      </c>
    </row>
    <row r="127" spans="2:2" x14ac:dyDescent="0.25">
      <c r="B127" s="3">
        <v>7.0427397260273903</v>
      </c>
    </row>
    <row r="128" spans="2:2" x14ac:dyDescent="0.25">
      <c r="B128" s="3">
        <v>7.0477397260273902</v>
      </c>
    </row>
    <row r="129" spans="2:2" x14ac:dyDescent="0.25">
      <c r="B129" s="3">
        <v>7.0527397260273901</v>
      </c>
    </row>
    <row r="130" spans="2:2" x14ac:dyDescent="0.25">
      <c r="B130" s="3">
        <v>7.05773972602739</v>
      </c>
    </row>
    <row r="131" spans="2:2" x14ac:dyDescent="0.25">
      <c r="B131" s="3">
        <v>7.0627397260273899</v>
      </c>
    </row>
    <row r="132" spans="2:2" x14ac:dyDescent="0.25">
      <c r="B132" s="3">
        <v>7.0677397260273898</v>
      </c>
    </row>
    <row r="133" spans="2:2" x14ac:dyDescent="0.25">
      <c r="B133" s="3">
        <v>7.0727397260273897</v>
      </c>
    </row>
    <row r="134" spans="2:2" x14ac:dyDescent="0.25">
      <c r="B134" s="3">
        <v>7.0777397260273904</v>
      </c>
    </row>
    <row r="135" spans="2:2" x14ac:dyDescent="0.25">
      <c r="B135" s="3">
        <v>7.0827397260273903</v>
      </c>
    </row>
    <row r="136" spans="2:2" x14ac:dyDescent="0.25">
      <c r="B136" s="3">
        <v>7.0877397260273902</v>
      </c>
    </row>
    <row r="137" spans="2:2" x14ac:dyDescent="0.25">
      <c r="B137" s="3">
        <v>7.0927397260273901</v>
      </c>
    </row>
    <row r="138" spans="2:2" x14ac:dyDescent="0.25">
      <c r="B138" s="3">
        <v>7.09773972602739</v>
      </c>
    </row>
    <row r="139" spans="2:2" x14ac:dyDescent="0.25">
      <c r="B139" s="3">
        <v>7.1027397260273899</v>
      </c>
    </row>
    <row r="140" spans="2:2" x14ac:dyDescent="0.25">
      <c r="B140" s="3">
        <v>7.1077397260273898</v>
      </c>
    </row>
    <row r="141" spans="2:2" x14ac:dyDescent="0.25">
      <c r="B141" s="3">
        <v>7.1127397260273897</v>
      </c>
    </row>
    <row r="142" spans="2:2" x14ac:dyDescent="0.25">
      <c r="B142" s="3">
        <v>7.1177397260273896</v>
      </c>
    </row>
    <row r="143" spans="2:2" x14ac:dyDescent="0.25">
      <c r="B143" s="3">
        <v>7.1227397260273904</v>
      </c>
    </row>
    <row r="144" spans="2:2" x14ac:dyDescent="0.25">
      <c r="B144" s="3">
        <v>7.1277397260273903</v>
      </c>
    </row>
    <row r="145" spans="2:2" x14ac:dyDescent="0.25">
      <c r="B145" s="3">
        <v>7.1327397260273901</v>
      </c>
    </row>
    <row r="146" spans="2:2" x14ac:dyDescent="0.25">
      <c r="B146" s="3">
        <v>7.13773972602739</v>
      </c>
    </row>
    <row r="147" spans="2:2" x14ac:dyDescent="0.25">
      <c r="B147" s="3">
        <v>7.1427397260273899</v>
      </c>
    </row>
    <row r="148" spans="2:2" x14ac:dyDescent="0.25">
      <c r="B148" s="3">
        <v>7.1477397260273898</v>
      </c>
    </row>
    <row r="149" spans="2:2" x14ac:dyDescent="0.25">
      <c r="B149" s="3">
        <v>7.1527397260273897</v>
      </c>
    </row>
    <row r="150" spans="2:2" x14ac:dyDescent="0.25">
      <c r="B150" s="3">
        <v>7.1577397260273896</v>
      </c>
    </row>
    <row r="151" spans="2:2" x14ac:dyDescent="0.25">
      <c r="B151" s="3">
        <v>7.1627397260273904</v>
      </c>
    </row>
    <row r="152" spans="2:2" x14ac:dyDescent="0.25">
      <c r="B152" s="3">
        <v>7.1677397260273903</v>
      </c>
    </row>
    <row r="153" spans="2:2" x14ac:dyDescent="0.25">
      <c r="B153" s="3">
        <v>7.1727397260273902</v>
      </c>
    </row>
    <row r="154" spans="2:2" x14ac:dyDescent="0.25">
      <c r="B154" s="3">
        <v>7.1777397260273901</v>
      </c>
    </row>
    <row r="155" spans="2:2" x14ac:dyDescent="0.25">
      <c r="B155" s="3">
        <v>7.18273972602739</v>
      </c>
    </row>
    <row r="156" spans="2:2" x14ac:dyDescent="0.25">
      <c r="B156" s="3">
        <v>7.1877397260273899</v>
      </c>
    </row>
    <row r="157" spans="2:2" x14ac:dyDescent="0.25">
      <c r="B157" s="3">
        <v>7.1927397260273898</v>
      </c>
    </row>
    <row r="158" spans="2:2" x14ac:dyDescent="0.25">
      <c r="B158" s="3">
        <v>7.1977397260273897</v>
      </c>
    </row>
    <row r="159" spans="2:2" x14ac:dyDescent="0.25">
      <c r="B159" s="3">
        <v>7.2027397260273904</v>
      </c>
    </row>
    <row r="160" spans="2:2" x14ac:dyDescent="0.25">
      <c r="B160" s="3">
        <v>7.2077397260273903</v>
      </c>
    </row>
    <row r="161" spans="2:2" x14ac:dyDescent="0.25">
      <c r="B161" s="3">
        <v>7.2127397260273902</v>
      </c>
    </row>
    <row r="162" spans="2:2" x14ac:dyDescent="0.25">
      <c r="B162" s="3">
        <v>7.2177397260273901</v>
      </c>
    </row>
    <row r="163" spans="2:2" x14ac:dyDescent="0.25">
      <c r="B163" s="3">
        <v>7.22273972602739</v>
      </c>
    </row>
    <row r="164" spans="2:2" x14ac:dyDescent="0.25">
      <c r="B164" s="3">
        <v>7.2277397260273899</v>
      </c>
    </row>
    <row r="165" spans="2:2" x14ac:dyDescent="0.25">
      <c r="B165" s="3">
        <v>7.2327397260273898</v>
      </c>
    </row>
    <row r="166" spans="2:2" x14ac:dyDescent="0.25">
      <c r="B166" s="3">
        <v>7.2377397260273897</v>
      </c>
    </row>
    <row r="167" spans="2:2" x14ac:dyDescent="0.25">
      <c r="B167" s="3">
        <v>7.2427397260273896</v>
      </c>
    </row>
    <row r="168" spans="2:2" x14ac:dyDescent="0.25">
      <c r="B168" s="3">
        <v>7.2477397260273904</v>
      </c>
    </row>
    <row r="169" spans="2:2" x14ac:dyDescent="0.25">
      <c r="B169" s="3">
        <v>7.2527397260273903</v>
      </c>
    </row>
    <row r="170" spans="2:2" x14ac:dyDescent="0.25">
      <c r="B170" s="3">
        <v>7.2577397260273901</v>
      </c>
    </row>
    <row r="171" spans="2:2" x14ac:dyDescent="0.25">
      <c r="B171" s="3">
        <v>7.26273972602739</v>
      </c>
    </row>
    <row r="172" spans="2:2" x14ac:dyDescent="0.25">
      <c r="B172" s="3">
        <v>7.2677397260273899</v>
      </c>
    </row>
    <row r="173" spans="2:2" x14ac:dyDescent="0.25">
      <c r="B173" s="3">
        <v>7.2727397260273898</v>
      </c>
    </row>
    <row r="174" spans="2:2" x14ac:dyDescent="0.25">
      <c r="B174" s="3">
        <v>7.2777397260273897</v>
      </c>
    </row>
    <row r="175" spans="2:2" x14ac:dyDescent="0.25">
      <c r="B175" s="3">
        <v>7.2827397260273896</v>
      </c>
    </row>
    <row r="176" spans="2:2" x14ac:dyDescent="0.25">
      <c r="B176" s="3">
        <v>7.2877397260273904</v>
      </c>
    </row>
    <row r="177" spans="2:2" x14ac:dyDescent="0.25">
      <c r="B177" s="3">
        <v>7.2927397260273903</v>
      </c>
    </row>
    <row r="178" spans="2:2" x14ac:dyDescent="0.25">
      <c r="B178" s="3">
        <v>7.2977397260273902</v>
      </c>
    </row>
    <row r="179" spans="2:2" x14ac:dyDescent="0.25">
      <c r="B179" s="3">
        <v>7.3027397260273901</v>
      </c>
    </row>
    <row r="180" spans="2:2" x14ac:dyDescent="0.25">
      <c r="B180" s="3">
        <v>7.30773972602739</v>
      </c>
    </row>
    <row r="181" spans="2:2" x14ac:dyDescent="0.25">
      <c r="B181" s="3">
        <v>7.3127397260273899</v>
      </c>
    </row>
    <row r="182" spans="2:2" x14ac:dyDescent="0.25">
      <c r="B182" s="3">
        <v>7.3177397260273898</v>
      </c>
    </row>
    <row r="183" spans="2:2" x14ac:dyDescent="0.25">
      <c r="B183" s="3">
        <v>7.3227397260273897</v>
      </c>
    </row>
    <row r="184" spans="2:2" x14ac:dyDescent="0.25">
      <c r="B184" s="3">
        <v>7.3277397260273904</v>
      </c>
    </row>
    <row r="185" spans="2:2" x14ac:dyDescent="0.25">
      <c r="B185" s="3">
        <v>7.3327397260273903</v>
      </c>
    </row>
    <row r="186" spans="2:2" x14ac:dyDescent="0.25">
      <c r="B186" s="3">
        <v>7.3377397260273902</v>
      </c>
    </row>
    <row r="187" spans="2:2" x14ac:dyDescent="0.25">
      <c r="B187" s="3">
        <v>7.3427397260273901</v>
      </c>
    </row>
    <row r="188" spans="2:2" x14ac:dyDescent="0.25">
      <c r="B188" s="3">
        <v>7.34773972602739</v>
      </c>
    </row>
    <row r="189" spans="2:2" x14ac:dyDescent="0.25">
      <c r="B189" s="3">
        <v>7.3527397260273899</v>
      </c>
    </row>
    <row r="190" spans="2:2" x14ac:dyDescent="0.25">
      <c r="B190" s="3">
        <v>7.3577397260273898</v>
      </c>
    </row>
    <row r="191" spans="2:2" x14ac:dyDescent="0.25">
      <c r="B191" s="3">
        <v>7.3627397260273897</v>
      </c>
    </row>
    <row r="192" spans="2:2" x14ac:dyDescent="0.25">
      <c r="B192" s="3">
        <v>7.3677397260273896</v>
      </c>
    </row>
    <row r="193" spans="2:2" x14ac:dyDescent="0.25">
      <c r="B193" s="3">
        <v>7.3727397260273904</v>
      </c>
    </row>
    <row r="194" spans="2:2" x14ac:dyDescent="0.25">
      <c r="B194" s="3">
        <v>7.3777397260273903</v>
      </c>
    </row>
    <row r="195" spans="2:2" x14ac:dyDescent="0.25">
      <c r="B195" s="3">
        <v>7.3827397260273901</v>
      </c>
    </row>
    <row r="196" spans="2:2" x14ac:dyDescent="0.25">
      <c r="B196" s="3">
        <v>7.38773972602739</v>
      </c>
    </row>
    <row r="197" spans="2:2" x14ac:dyDescent="0.25">
      <c r="B197" s="3">
        <v>7.3927397260273899</v>
      </c>
    </row>
    <row r="198" spans="2:2" x14ac:dyDescent="0.25">
      <c r="B198" s="3">
        <v>7.3977397260273898</v>
      </c>
    </row>
    <row r="199" spans="2:2" x14ac:dyDescent="0.25">
      <c r="B199" s="3">
        <v>7.4027397260273897</v>
      </c>
    </row>
    <row r="200" spans="2:2" x14ac:dyDescent="0.25">
      <c r="B200" s="3">
        <v>7.4077397260273896</v>
      </c>
    </row>
    <row r="201" spans="2:2" x14ac:dyDescent="0.25">
      <c r="B201" s="3">
        <v>7.4127397260273904</v>
      </c>
    </row>
    <row r="202" spans="2:2" x14ac:dyDescent="0.25">
      <c r="B202" s="3">
        <v>7.4177397260273903</v>
      </c>
    </row>
    <row r="203" spans="2:2" x14ac:dyDescent="0.25">
      <c r="B203" s="3">
        <v>7.4227397260273902</v>
      </c>
    </row>
    <row r="204" spans="2:2" x14ac:dyDescent="0.25">
      <c r="B204" s="3">
        <v>0.42773972602739702</v>
      </c>
    </row>
    <row r="205" spans="2:2" x14ac:dyDescent="0.25">
      <c r="B205" s="3">
        <v>7.43273972602739</v>
      </c>
    </row>
    <row r="206" spans="2:2" x14ac:dyDescent="0.25">
      <c r="B206" s="3">
        <v>7.4377397260273899</v>
      </c>
    </row>
    <row r="207" spans="2:2" x14ac:dyDescent="0.25">
      <c r="B207" s="3">
        <v>7.4427397260273898</v>
      </c>
    </row>
    <row r="208" spans="2:2" x14ac:dyDescent="0.25">
      <c r="B208" s="3">
        <v>7.4477397260273897</v>
      </c>
    </row>
    <row r="209" spans="2:2" x14ac:dyDescent="0.25">
      <c r="B209" s="3">
        <v>7.4527397260273904</v>
      </c>
    </row>
    <row r="210" spans="2:2" x14ac:dyDescent="0.25">
      <c r="B210" s="3">
        <v>7.4577397260273903</v>
      </c>
    </row>
    <row r="211" spans="2:2" x14ac:dyDescent="0.25">
      <c r="B211" s="3">
        <v>7.4627397260273902</v>
      </c>
    </row>
    <row r="212" spans="2:2" x14ac:dyDescent="0.25">
      <c r="B212" s="3">
        <v>7.4677397260273901</v>
      </c>
    </row>
    <row r="213" spans="2:2" x14ac:dyDescent="0.25">
      <c r="B213" s="3">
        <v>7.47273972602739</v>
      </c>
    </row>
    <row r="214" spans="2:2" x14ac:dyDescent="0.25">
      <c r="B214" s="3">
        <v>7.4777397260273899</v>
      </c>
    </row>
    <row r="215" spans="2:2" x14ac:dyDescent="0.25">
      <c r="B215" s="3">
        <v>7.4827397260273898</v>
      </c>
    </row>
    <row r="216" spans="2:2" x14ac:dyDescent="0.25">
      <c r="B216" s="3">
        <v>7.4877397260273897</v>
      </c>
    </row>
    <row r="217" spans="2:2" x14ac:dyDescent="0.25">
      <c r="B217" s="3">
        <v>7.4927397260273896</v>
      </c>
    </row>
    <row r="218" spans="2:2" x14ac:dyDescent="0.25">
      <c r="B218" s="3">
        <v>7.4977397260273904</v>
      </c>
    </row>
    <row r="219" spans="2:2" x14ac:dyDescent="0.25">
      <c r="B219" s="3">
        <v>7.5027397260273903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20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3" width="82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55" t="s">
        <v>14</v>
      </c>
      <c r="B4" s="89">
        <v>2</v>
      </c>
      <c r="C4" s="90">
        <v>2</v>
      </c>
    </row>
    <row r="5" spans="1:3" x14ac:dyDescent="0.25">
      <c r="A5" s="38" t="s">
        <v>15</v>
      </c>
      <c r="B5" s="91">
        <v>100</v>
      </c>
      <c r="C5" s="92">
        <v>100</v>
      </c>
    </row>
    <row r="6" spans="1:3" x14ac:dyDescent="0.25">
      <c r="A6" s="38" t="s">
        <v>60</v>
      </c>
      <c r="B6" s="91" t="str">
        <f>_xll.qlCalendar("TARGET")</f>
        <v>TARGET</v>
      </c>
      <c r="C6" s="92" t="str">
        <f>_xll.qlCalendar("TARGET")</f>
        <v>TARGET</v>
      </c>
    </row>
    <row r="7" spans="1:3" x14ac:dyDescent="0.25">
      <c r="A7" s="38" t="s">
        <v>16</v>
      </c>
      <c r="B7" s="93">
        <v>48215</v>
      </c>
      <c r="C7" s="94">
        <v>48215</v>
      </c>
    </row>
    <row r="8" spans="1:3" x14ac:dyDescent="0.25">
      <c r="A8" s="38" t="s">
        <v>145</v>
      </c>
      <c r="B8" s="91" t="s">
        <v>149</v>
      </c>
      <c r="C8" s="92" t="s">
        <v>149</v>
      </c>
    </row>
    <row r="9" spans="1:3" x14ac:dyDescent="0.25">
      <c r="A9" s="38" t="s">
        <v>84</v>
      </c>
      <c r="B9" s="91"/>
      <c r="C9" s="92" t="s">
        <v>147</v>
      </c>
    </row>
    <row r="10" spans="1:3" x14ac:dyDescent="0.25">
      <c r="A10" s="38" t="s">
        <v>63</v>
      </c>
      <c r="B10" s="91"/>
      <c r="C10" s="92">
        <v>100</v>
      </c>
    </row>
    <row r="11" spans="1:3" x14ac:dyDescent="0.25">
      <c r="A11" s="38" t="s">
        <v>17</v>
      </c>
      <c r="B11" s="91"/>
      <c r="C11" s="94">
        <v>45659</v>
      </c>
    </row>
    <row r="12" spans="1:3" x14ac:dyDescent="0.25">
      <c r="A12" s="84" t="s">
        <v>120</v>
      </c>
      <c r="B12" s="95" t="str">
        <f>_xll.qlBondPrice(105,"CLEAN")</f>
        <v>欣[test_bonds.xlsx]CallableZeroCouponBond!R12C2BondPrice,A</v>
      </c>
      <c r="C12" s="96" t="str">
        <f>_xll.qlBondPrice(105,"CLEAN")</f>
        <v>欣[test_bonds.xlsx]CallableZeroCouponBond!R12C3BondPrice,A</v>
      </c>
    </row>
    <row r="13" spans="1:3" ht="14.25" customHeight="1" x14ac:dyDescent="0.25">
      <c r="A13" s="32" t="s">
        <v>126</v>
      </c>
      <c r="B13" s="93" t="s">
        <v>161</v>
      </c>
      <c r="C13" s="94" t="s">
        <v>161</v>
      </c>
    </row>
    <row r="14" spans="1:3" x14ac:dyDescent="0.25">
      <c r="A14" s="32" t="s">
        <v>135</v>
      </c>
      <c r="B14" s="93">
        <v>46754</v>
      </c>
      <c r="C14" s="94">
        <v>46754</v>
      </c>
    </row>
    <row r="15" spans="1:3" x14ac:dyDescent="0.25">
      <c r="A15" s="88" t="s">
        <v>133</v>
      </c>
      <c r="B15" s="97" t="str">
        <f>_xll.qlCallability(B12,B13,B14)</f>
        <v>欣[test_bonds.xlsx]CallableZeroCouponBond!R15C2Callability,A</v>
      </c>
      <c r="C15" s="98" t="str">
        <f>_xll.qlCallability(C12,C13,C14)</f>
        <v>欣[test_bonds.xlsx]CallableZeroCouponBond!R15C3Callability,A</v>
      </c>
    </row>
    <row r="16" spans="1:3" x14ac:dyDescent="0.25">
      <c r="A16" s="64" t="s">
        <v>146</v>
      </c>
      <c r="B16" s="99" t="str">
        <f>_xll.qlCallableZeroCouponBond(B4,B5,B6,B7,B8,,,,B15)</f>
        <v>欣[test_bonds.xlsx]CallableZeroCouponBond!R16C2CallableZeroCouponBond,A</v>
      </c>
      <c r="C16" s="99" t="str">
        <f>_xll.qlCallableZeroCouponBond(C4,C5,C6,C7,C8,C9,C10,C11,C15)</f>
        <v>欣[test_bonds.xlsx]CallableZeroCouponBond!R16C3CallableZeroCouponBond,A</v>
      </c>
    </row>
    <row r="17" spans="1:3" x14ac:dyDescent="0.25">
      <c r="A17" s="80" t="s">
        <v>20</v>
      </c>
      <c r="B17" s="100">
        <f>FIND("RuntimeError: RuntimeError: no coupon paid at cashflow date January 2nd, 2032",_xll.qlBondNextCouponRate(B16))</f>
        <v>1</v>
      </c>
      <c r="C17" s="31">
        <f>FIND("RuntimeError: RuntimeError: no coupon paid at cashflow date January 2nd, 2032",_xll.qlBondNextCouponRate(C16))</f>
        <v>1</v>
      </c>
    </row>
    <row r="18" spans="1:3" x14ac:dyDescent="0.25">
      <c r="A18" s="80" t="s">
        <v>21</v>
      </c>
      <c r="B18" s="104">
        <f>_xll.qlBondPreviousCouponRate(B16)</f>
        <v>0</v>
      </c>
      <c r="C18" s="79">
        <f>_xll.qlBondPreviousCouponRate(C16)</f>
        <v>0</v>
      </c>
    </row>
    <row r="19" spans="1:3" x14ac:dyDescent="0.25">
      <c r="A19" s="61" t="s">
        <v>22</v>
      </c>
      <c r="B19" s="102">
        <f>_xll.qlBondNextCashFlowDate(B16)</f>
        <v>48215</v>
      </c>
      <c r="C19" s="53">
        <f>_xll.qlBondNextCashFlowDate(C16)</f>
        <v>48215</v>
      </c>
    </row>
    <row r="20" spans="1:3" x14ac:dyDescent="0.25">
      <c r="A20" s="80" t="s">
        <v>23</v>
      </c>
      <c r="B20" s="105">
        <f>_xll.qlBondPreviousCashFlowDate(B16)</f>
        <v>0</v>
      </c>
      <c r="C20" s="106">
        <f>_xll.qlBondPreviousCashFlowDate(C16)</f>
        <v>0</v>
      </c>
    </row>
    <row r="21" spans="1:3" x14ac:dyDescent="0.25">
      <c r="A21" s="80" t="s">
        <v>24</v>
      </c>
      <c r="B21" s="101">
        <f>_xll.qlBondSettlementDays(B16)</f>
        <v>2</v>
      </c>
      <c r="C21" s="34">
        <f>_xll.qlBondSettlementDays(C16)</f>
        <v>2</v>
      </c>
    </row>
    <row r="22" spans="1:3" x14ac:dyDescent="0.25">
      <c r="A22" s="80" t="s">
        <v>25</v>
      </c>
      <c r="B22" s="105">
        <f>_xll.qlBondSettlementDate(B16)</f>
        <v>45663</v>
      </c>
      <c r="C22" s="106">
        <f>_xll.qlBondSettlementDate(C16)</f>
        <v>45663</v>
      </c>
    </row>
    <row r="23" spans="1:3" x14ac:dyDescent="0.25">
      <c r="A23" s="61" t="s">
        <v>26</v>
      </c>
      <c r="B23" s="101" t="b">
        <f>_xll.qlBondIsTradable(B16)</f>
        <v>1</v>
      </c>
      <c r="C23" s="34" t="b">
        <f>_xll.qlBondIsTradable(C16)</f>
        <v>1</v>
      </c>
    </row>
    <row r="24" spans="1:3" x14ac:dyDescent="0.25">
      <c r="A24" s="80" t="s">
        <v>27</v>
      </c>
      <c r="B24" s="105">
        <f>_xll.qlBondStartDate(B16)</f>
        <v>48215</v>
      </c>
      <c r="C24" s="106">
        <f>_xll.qlBondStartDate(C16)</f>
        <v>48215</v>
      </c>
    </row>
    <row r="25" spans="1:3" x14ac:dyDescent="0.25">
      <c r="A25" s="80" t="s">
        <v>28</v>
      </c>
      <c r="B25" s="102">
        <f>_xll.qlBondMaturityDate(B16)</f>
        <v>48215</v>
      </c>
      <c r="C25" s="53">
        <f>_xll.qlBondMaturityDate(C16)</f>
        <v>48215</v>
      </c>
    </row>
    <row r="26" spans="1:3" x14ac:dyDescent="0.25">
      <c r="A26" s="80" t="s">
        <v>29</v>
      </c>
      <c r="B26" s="105">
        <f>_xll.qlBondIssueDate(B16)</f>
        <v>0</v>
      </c>
      <c r="C26" s="106">
        <f>_xll.qlBondIssueDate(C16)</f>
        <v>45659</v>
      </c>
    </row>
    <row r="27" spans="1:3" x14ac:dyDescent="0.25">
      <c r="A27" s="61" t="s">
        <v>30</v>
      </c>
      <c r="B27" s="101" t="str">
        <f>_xll.qlBondCashFlows(B16)</f>
        <v>欣[test_bonds.xlsx]CallableZeroCouponBond!R27C2CashFlow,A</v>
      </c>
      <c r="C27" s="34" t="str">
        <f>_xll.qlBondCashFlows(C16)</f>
        <v>欣[test_bonds.xlsx]CallableZeroCouponBond!R27C3CashFlow,A</v>
      </c>
    </row>
    <row r="28" spans="1:3" x14ac:dyDescent="0.25">
      <c r="A28" s="80" t="s">
        <v>57</v>
      </c>
      <c r="B28" s="104" t="str">
        <f>_xll.qlBondRedemption(B16)</f>
        <v>欣[test_bonds.xlsx]CallableZeroCouponBond!R28C2CashFlow,A</v>
      </c>
      <c r="C28" s="79" t="str">
        <f>_xll.qlBondRedemption(C16)</f>
        <v>欣[test_bonds.xlsx]CallableZeroCouponBond!R28C3CashFlow,A</v>
      </c>
    </row>
    <row r="29" spans="1:3" x14ac:dyDescent="0.25">
      <c r="A29" s="80" t="s">
        <v>58</v>
      </c>
      <c r="B29" s="101" t="str">
        <f>_xll.qlBondRedemptions(B16)</f>
        <v>欣[test_bonds.xlsx]CallableZeroCouponBond!R29C2CashFlow,A</v>
      </c>
      <c r="C29" s="34" t="str">
        <f>_xll.qlBondRedemptions(C16)</f>
        <v>欣[test_bonds.xlsx]CallableZeroCouponBond!R29C3CashFlow,A</v>
      </c>
    </row>
    <row r="30" spans="1:3" x14ac:dyDescent="0.25">
      <c r="A30" s="80" t="s">
        <v>31</v>
      </c>
      <c r="B30" s="104" t="str">
        <f>_xll.qlBondCalendar(B16)</f>
        <v>TARGET</v>
      </c>
      <c r="C30" s="79" t="str">
        <f>_xll.qlBondCalendar(C16)</f>
        <v>TARGET</v>
      </c>
    </row>
    <row r="31" spans="1:3" x14ac:dyDescent="0.25">
      <c r="A31" s="61" t="s">
        <v>32</v>
      </c>
      <c r="B31" s="104">
        <f>_xll.qlBondNotional(B16)</f>
        <v>100</v>
      </c>
      <c r="C31" s="79">
        <f>_xll.qlBondNotional(C16)</f>
        <v>100</v>
      </c>
    </row>
    <row r="32" spans="1:3" x14ac:dyDescent="0.25">
      <c r="A32" s="61" t="s">
        <v>59</v>
      </c>
      <c r="B32" s="103">
        <f>_xll.qlBondNotionals(B16)</f>
        <v>100</v>
      </c>
      <c r="C32" s="41">
        <f>_xll.qlBondNotionals(C16)</f>
        <v>100</v>
      </c>
    </row>
    <row r="33" spans="1:3" x14ac:dyDescent="0.25">
      <c r="A33" s="55" t="s">
        <v>138</v>
      </c>
      <c r="B33" s="33">
        <v>0.15</v>
      </c>
      <c r="C33" s="34">
        <v>0.15</v>
      </c>
    </row>
    <row r="34" spans="1:3" x14ac:dyDescent="0.25">
      <c r="A34" s="38" t="s">
        <v>110</v>
      </c>
      <c r="B34" s="33" t="str">
        <f>_xll.qlFlatForward(B2,0.03,"actual360","compounded","Quarterly")</f>
        <v>欣[test_bonds.xlsx]CallableZeroCouponBond!R34C2YieldTermStructureHandle,A</v>
      </c>
      <c r="C34" s="34" t="str">
        <f>_xll.qlFlatForward(B2,0.03,"actual360","compounded","Quarterly")</f>
        <v>欣[test_bonds.xlsx]CallableZeroCouponBond!R34C3YieldTermStructureHandle,A</v>
      </c>
    </row>
    <row r="35" spans="1:3" x14ac:dyDescent="0.25">
      <c r="A35" s="54" t="s">
        <v>137</v>
      </c>
      <c r="B35" s="40" t="str">
        <f>_xll.qlBlackCallableFixedRateBondEngine(B33,B34)</f>
        <v>欣[test_bonds.xlsx]CallableZeroCouponBond!R35C2BlackCallableFixedRateBondEngine,A</v>
      </c>
      <c r="C35" s="41" t="str">
        <f>_xll.qlBlackCallableFixedRateBondEngine(C33,C34)</f>
        <v>欣[test_bonds.xlsx]CallableZeroCouponBond!R35C3BlackCallableFixedRateBondEngine,A</v>
      </c>
    </row>
    <row r="36" spans="1:3" x14ac:dyDescent="0.25">
      <c r="A36" s="38" t="s">
        <v>150</v>
      </c>
      <c r="B36" s="33" t="b">
        <f>_xll.qlInstrumentSetPricingEngine(B16,B35)</f>
        <v>1</v>
      </c>
      <c r="C36" s="34" t="b">
        <f>_xll.qlInstrumentSetPricingEngine(C16,C35)</f>
        <v>1</v>
      </c>
    </row>
    <row r="37" spans="1:3" x14ac:dyDescent="0.25">
      <c r="A37" s="37" t="s">
        <v>33</v>
      </c>
      <c r="B37" s="72">
        <f>_xll.qlBondCleanPrice(B16,B36)</f>
        <v>80.906733580822063</v>
      </c>
      <c r="C37" s="73">
        <f>_xll.qlBondCleanPrice(C16,C36)</f>
        <v>80.906733580822063</v>
      </c>
    </row>
    <row r="38" spans="1:3" x14ac:dyDescent="0.25">
      <c r="A38" s="56" t="s">
        <v>56</v>
      </c>
      <c r="B38" s="57">
        <v>2.9888064241409308E-2</v>
      </c>
      <c r="C38" s="58">
        <v>2.9888064241409308E-2</v>
      </c>
    </row>
    <row r="39" spans="1:3" x14ac:dyDescent="0.25">
      <c r="A39" s="39" t="s">
        <v>34</v>
      </c>
      <c r="B39" s="59">
        <f>_xll.qlBondCleanPrice2(B16,B38,"actual360","continuous")</f>
        <v>80.906730788838317</v>
      </c>
      <c r="C39" s="60">
        <f>_xll.qlBondCleanPrice2(C16,C38,"actual360","continuous")</f>
        <v>80.906730788838317</v>
      </c>
    </row>
    <row r="40" spans="1:3" x14ac:dyDescent="0.25">
      <c r="A40" s="37" t="s">
        <v>35</v>
      </c>
      <c r="B40" s="72">
        <f>_xll.qlBondDirtyPrice(B16,B36)</f>
        <v>80.906733580822063</v>
      </c>
      <c r="C40" s="73">
        <f>_xll.qlBondDirtyPrice(C16,C36)</f>
        <v>80.906733580822063</v>
      </c>
    </row>
    <row r="41" spans="1:3" x14ac:dyDescent="0.25">
      <c r="A41" s="61" t="s">
        <v>36</v>
      </c>
      <c r="B41" s="62">
        <f>_xll.qlBondDirtyPrice2(B16,B38,"actual360","CONTINUOUS","annual")</f>
        <v>80.906730788838317</v>
      </c>
      <c r="C41" s="63">
        <f>_xll.qlBondDirtyPrice2(C16,C38,"actual360","CONTINUOUS","annual")</f>
        <v>80.906730788838317</v>
      </c>
    </row>
    <row r="42" spans="1:3" x14ac:dyDescent="0.25">
      <c r="A42" s="37" t="s">
        <v>37</v>
      </c>
      <c r="B42" s="72">
        <f>_xll.qlBondYield(B16,"actual360","CONTINUOUS","annual",,,B36)</f>
        <v>2.9888064241409308E-2</v>
      </c>
      <c r="C42" s="73">
        <f>_xll.qlBondYield(C16,"actual360","CONTINUOUS","annual",,,C36)</f>
        <v>2.9888064241409308E-2</v>
      </c>
    </row>
    <row r="43" spans="1:3" x14ac:dyDescent="0.25">
      <c r="A43" s="56" t="s">
        <v>120</v>
      </c>
      <c r="B43" s="57" t="str">
        <f>_xll.qlBondPrice(B37,"clean")</f>
        <v>欣[test_bonds.xlsx]CallableZeroCouponBond!R43C2BondPrice,A</v>
      </c>
      <c r="C43" s="58" t="str">
        <f>_xll.qlBondPrice(C37,"clean")</f>
        <v>欣[test_bonds.xlsx]CallableZeroCouponBond!R43C3BondPrice,A</v>
      </c>
    </row>
    <row r="44" spans="1:3" x14ac:dyDescent="0.25">
      <c r="A44" s="39" t="s">
        <v>38</v>
      </c>
      <c r="B44" s="59">
        <f>_xll.qlBondYield2(B16,B43,"actual360","CONTINUOUS","annual")</f>
        <v>2.9888064241409308E-2</v>
      </c>
      <c r="C44" s="60">
        <f>_xll.qlBondYield2(C16,C43,"actual360","CONTINUOUS","annual")</f>
        <v>2.9888064241409308E-2</v>
      </c>
    </row>
    <row r="45" spans="1:3" x14ac:dyDescent="0.25">
      <c r="A45" s="56" t="s">
        <v>54</v>
      </c>
      <c r="B45" s="50">
        <v>45667</v>
      </c>
      <c r="C45" s="51">
        <v>45667</v>
      </c>
    </row>
    <row r="46" spans="1:3" x14ac:dyDescent="0.25">
      <c r="A46" s="39" t="s">
        <v>39</v>
      </c>
      <c r="B46" s="59">
        <f>_xll.qlBondAccruedAmount(B16,B45)</f>
        <v>0</v>
      </c>
      <c r="C46" s="60">
        <f>_xll.qlBondAccruedAmount(C16,C45)</f>
        <v>0</v>
      </c>
    </row>
    <row r="47" spans="1:3" x14ac:dyDescent="0.25">
      <c r="A47" s="61" t="s">
        <v>40</v>
      </c>
      <c r="B47" s="62">
        <f>_xll.qlBondSettlementValue(B16,B36)</f>
        <v>80.906733580822063</v>
      </c>
      <c r="C47" s="63">
        <f>_xll.qlBondSettlementValue(C16,C36)</f>
        <v>80.906733580822063</v>
      </c>
    </row>
    <row r="48" spans="1:3" x14ac:dyDescent="0.25">
      <c r="A48" s="37" t="s">
        <v>41</v>
      </c>
      <c r="B48" s="72">
        <f>_xll.qlBondSettlementValue2(B16,B37)</f>
        <v>80.906733580822063</v>
      </c>
      <c r="C48" s="73">
        <f>_xll.qlBondSettlementValue2(C16,C37)</f>
        <v>80.906733580822063</v>
      </c>
    </row>
    <row r="49" spans="1:3" x14ac:dyDescent="0.25">
      <c r="A49" s="37" t="s">
        <v>139</v>
      </c>
      <c r="B49" s="33" t="str">
        <f>_xll.qlCallableBondCallability(B16)</f>
        <v>欣[test_bonds.xlsx]CallableZeroCouponBond!R49C2Callability,A</v>
      </c>
      <c r="C49" s="34" t="str">
        <f>_xll.qlCallableBondCallability(C16)</f>
        <v>欣[test_bonds.xlsx]CallableZeroCouponBond!R49C3Callability,A</v>
      </c>
    </row>
    <row r="50" spans="1:3" x14ac:dyDescent="0.25">
      <c r="A50" s="56" t="s">
        <v>120</v>
      </c>
      <c r="B50" s="30" t="str">
        <f>_xll.qlBondPrice(B37,"Clean")</f>
        <v>欣[test_bonds.xlsx]CallableZeroCouponBond!R50C2BondPrice,A</v>
      </c>
      <c r="C50" s="31" t="str">
        <f>_xll.qlBondPrice(C37,"Clean")</f>
        <v>欣[test_bonds.xlsx]CallableZeroCouponBond!R50C3BondPrice,A</v>
      </c>
    </row>
    <row r="51" spans="1:3" x14ac:dyDescent="0.25">
      <c r="A51" s="36" t="s">
        <v>153</v>
      </c>
      <c r="B51" s="33" t="str">
        <f>_xll.qlBondPrice(B37,"Clean")</f>
        <v>欣[test_bonds.xlsx]CallableZeroCouponBond!R51C2BondPrice,A</v>
      </c>
      <c r="C51" s="34" t="str">
        <f>_xll.qlBondPrice(C37,"Clean")</f>
        <v>欣[test_bonds.xlsx]CallableZeroCouponBond!R51C3BondPrice,A</v>
      </c>
    </row>
    <row r="52" spans="1:3" x14ac:dyDescent="0.25">
      <c r="A52" s="36" t="s">
        <v>154</v>
      </c>
      <c r="B52" s="33" t="str">
        <f>_xll.qlFlatForward($B$1,0.03,"actual365fixed")</f>
        <v>欣[test_bonds.xlsx]CallableZeroCouponBond!R52C2YieldTermStructureHandle,A</v>
      </c>
      <c r="C52" s="34" t="str">
        <f>_xll.qlFlatForward($B$1,0.03,"actual365fixed")</f>
        <v>欣[test_bonds.xlsx]CallableZeroCouponBond!R52C3YieldTermStructureHandle,A</v>
      </c>
    </row>
    <row r="53" spans="1:3" x14ac:dyDescent="0.25">
      <c r="A53" s="36" t="s">
        <v>155</v>
      </c>
      <c r="B53" s="71">
        <v>9.9999999999999995E-7</v>
      </c>
      <c r="C53" s="74">
        <v>9.9999999999999995E-7</v>
      </c>
    </row>
    <row r="54" spans="1:3" x14ac:dyDescent="0.25">
      <c r="A54" s="36" t="s">
        <v>156</v>
      </c>
      <c r="B54" s="33">
        <v>100</v>
      </c>
      <c r="C54" s="34">
        <v>100</v>
      </c>
    </row>
    <row r="55" spans="1:3" x14ac:dyDescent="0.25">
      <c r="A55" s="36" t="s">
        <v>157</v>
      </c>
      <c r="B55" s="33">
        <v>0.01</v>
      </c>
      <c r="C55" s="34">
        <v>0.01</v>
      </c>
    </row>
    <row r="56" spans="1:3" x14ac:dyDescent="0.25">
      <c r="A56" s="36" t="s">
        <v>158</v>
      </c>
      <c r="B56" s="33">
        <v>0.5</v>
      </c>
      <c r="C56" s="34">
        <v>0.5</v>
      </c>
    </row>
    <row r="57" spans="1:3" s="15" customFormat="1" x14ac:dyDescent="0.25">
      <c r="A57" s="75" t="s">
        <v>140</v>
      </c>
      <c r="B57" s="85">
        <f>_xll.qlCallableBondImpliedVolatility(B16,B51,B52,B53,B54,B55,B56)</f>
        <v>0.49070370787832679</v>
      </c>
      <c r="C57" s="86">
        <f>_xll.qlCallableBondImpliedVolatility(C16,C51,C52,C53,C54,C55,C56)</f>
        <v>0.49070370787832679</v>
      </c>
    </row>
    <row r="58" spans="1:3" x14ac:dyDescent="0.25">
      <c r="A58" s="83" t="s">
        <v>141</v>
      </c>
      <c r="B58" s="33">
        <f>FIND("RuntimeError: RuntimeError: unable to bracket root in 1000 function evaluations",_xll.qlCallableBondOAS(B16,105,B34,"Actual/360","Simple","Annual",,,1000,,B36))</f>
        <v>1</v>
      </c>
      <c r="C58" s="34">
        <f>FIND("RuntimeError: RuntimeError: unable to bracket root in 1000 function evaluations",_xll.qlCallableBondOAS(C16,105,C34,"Actual/360","Simple","Annual",,,1000,,C36))</f>
        <v>1</v>
      </c>
    </row>
    <row r="59" spans="1:3" x14ac:dyDescent="0.25">
      <c r="A59" s="87" t="s">
        <v>142</v>
      </c>
      <c r="B59" s="78">
        <f>_xll.qlCallableBondCleanPriceOAS(B16,0.3,B34,"actual/360","simple","annual",,B36)</f>
        <v>80.879869761049534</v>
      </c>
      <c r="C59" s="79">
        <f>_xll.qlCallableBondCleanPriceOAS(C16,0.3,C34,"actual/360","simple","annual",,C36)</f>
        <v>80.879869761049534</v>
      </c>
    </row>
    <row r="60" spans="1:3" x14ac:dyDescent="0.25">
      <c r="A60" s="37" t="s">
        <v>143</v>
      </c>
      <c r="B60" s="33">
        <f>_xll.qlCallableBondEffectiveDuration(B16,0.3,B34,"actual/360","simple","quarterly",,B36)</f>
        <v>0</v>
      </c>
      <c r="C60" s="34">
        <f>_xll.qlCallableBondEffectiveDuration(C16,0.3,C34,"actual/360","simple","quarterly",,C36)</f>
        <v>0</v>
      </c>
    </row>
    <row r="61" spans="1:3" x14ac:dyDescent="0.25">
      <c r="A61" s="61" t="s">
        <v>144</v>
      </c>
      <c r="B61" s="78">
        <f>_xll.qlCallableBondEffectiveConvexity(B16,0.3,B34,"actual/360","simple","quarterly",,B36)</f>
        <v>0</v>
      </c>
      <c r="C61" s="79">
        <f>_xll.qlCallableBondEffectiveConvexity(C16,0.3,C34,"actual/360","simple","quarterly",,C36)</f>
        <v>0</v>
      </c>
    </row>
    <row r="62" spans="1:3" x14ac:dyDescent="0.25">
      <c r="A62" s="56" t="s">
        <v>154</v>
      </c>
      <c r="B62" s="57" t="str">
        <f>_xll.qlFlatForward($B$1,0.03,"actual365fixed")</f>
        <v>欣[test_bonds.xlsx]CallableZeroCouponBond!R62C2YieldTermStructureHandle,A</v>
      </c>
      <c r="C62" s="58" t="str">
        <f>_xll.qlFlatForward($B$1,0.03,"actual365fixed")</f>
        <v>欣[test_bonds.xlsx]CallableZeroCouponBond!R62C3YieldTermStructureHandle,A</v>
      </c>
    </row>
    <row r="63" spans="1:3" x14ac:dyDescent="0.25">
      <c r="A63" s="36" t="s">
        <v>163</v>
      </c>
      <c r="B63" s="72">
        <v>5.0000000000000001E-3</v>
      </c>
      <c r="C63" s="73">
        <v>5.0000000000000001E-3</v>
      </c>
    </row>
    <row r="64" spans="1:3" x14ac:dyDescent="0.25">
      <c r="A64" s="36" t="s">
        <v>165</v>
      </c>
      <c r="B64" s="72" t="s">
        <v>168</v>
      </c>
      <c r="C64" s="73" t="s">
        <v>168</v>
      </c>
    </row>
    <row r="65" spans="1:3" x14ac:dyDescent="0.25">
      <c r="A65" s="36" t="s">
        <v>164</v>
      </c>
      <c r="B65" s="72" t="s">
        <v>169</v>
      </c>
      <c r="C65" s="73" t="s">
        <v>169</v>
      </c>
    </row>
    <row r="66" spans="1:3" x14ac:dyDescent="0.25">
      <c r="A66" s="36" t="s">
        <v>166</v>
      </c>
      <c r="B66" s="72" t="s">
        <v>170</v>
      </c>
      <c r="C66" s="73" t="s">
        <v>170</v>
      </c>
    </row>
    <row r="67" spans="1:3" x14ac:dyDescent="0.25">
      <c r="A67" s="36" t="s">
        <v>167</v>
      </c>
      <c r="B67" s="72"/>
      <c r="C67" s="73"/>
    </row>
    <row r="68" spans="1:3" x14ac:dyDescent="0.25">
      <c r="A68" s="39" t="s">
        <v>162</v>
      </c>
      <c r="B68" s="40">
        <f>_xll.qlBondCleanPriceFromZSpread(B16,B62,B63,B64,B65,B66)</f>
        <v>78.380336922103126</v>
      </c>
      <c r="C68" s="41">
        <f>_xll.qlBondCleanPriceFromZSpread(C16,C62,C63,C64,C65,C66)</f>
        <v>78.380336922103126</v>
      </c>
    </row>
    <row r="70" spans="1:3" x14ac:dyDescent="0.25">
      <c r="A70" s="29" t="s">
        <v>171</v>
      </c>
      <c r="B70" s="30" t="str">
        <f>_xll.qlCallableZeroCouponBond(B4,B5,B6,B7,B8,,,,B15)</f>
        <v>欣[test_bonds.xlsx]CallableZeroCouponBond!R70C2CallableZeroCouponBond,A</v>
      </c>
      <c r="C70" s="31" t="str">
        <f>_xll.qlCallableZeroCouponBond(C4,C5,C6,C7,C8,C9,C10,C11,C15)</f>
        <v>欣[test_bonds.xlsx]CallableZeroCouponBond!R70C3CallableZeroCouponBond,A</v>
      </c>
    </row>
    <row r="71" spans="1:3" x14ac:dyDescent="0.25">
      <c r="A71" s="32" t="s">
        <v>172</v>
      </c>
      <c r="B71" s="33" t="str">
        <f>_xll.qlFlatForward($B$1,0.02,"actual365fixed")</f>
        <v>欣[test_bonds.xlsx]CallableZeroCouponBond!R71C2YieldTermStructureHandle,A</v>
      </c>
      <c r="C71" s="34" t="str">
        <f>_xll.qlFlatForward($B$1,0.02,"actual365fixed")</f>
        <v>欣[test_bonds.xlsx]CallableZeroCouponBond!R71C3YieldTermStructureHandle,A</v>
      </c>
    </row>
    <row r="72" spans="1:3" x14ac:dyDescent="0.25">
      <c r="A72" s="32" t="s">
        <v>173</v>
      </c>
      <c r="B72" s="33">
        <v>0.03</v>
      </c>
      <c r="C72" s="34">
        <v>0.03</v>
      </c>
    </row>
    <row r="73" spans="1:3" x14ac:dyDescent="0.25">
      <c r="A73" s="32" t="s">
        <v>174</v>
      </c>
      <c r="B73" s="33">
        <v>0.01</v>
      </c>
      <c r="C73" s="34">
        <v>0.01</v>
      </c>
    </row>
    <row r="74" spans="1:3" x14ac:dyDescent="0.25">
      <c r="A74" s="35" t="s">
        <v>175</v>
      </c>
      <c r="B74" s="33" t="str">
        <f>_xll.qlHullWhite(B71,B72,B73)</f>
        <v>欣[test_bonds.xlsx]CallableZeroCouponBond!R74C2HullWhite,A</v>
      </c>
      <c r="C74" s="34" t="str">
        <f>_xll.qlHullWhite(C71,C72,C73)</f>
        <v>欣[test_bonds.xlsx]CallableZeroCouponBond!R74C3HullWhite,A</v>
      </c>
    </row>
    <row r="75" spans="1:3" x14ac:dyDescent="0.25">
      <c r="A75" s="36" t="s">
        <v>176</v>
      </c>
      <c r="B75" s="33">
        <v>100</v>
      </c>
      <c r="C75" s="34">
        <v>100</v>
      </c>
    </row>
    <row r="76" spans="1:3" x14ac:dyDescent="0.25">
      <c r="A76" s="37" t="s">
        <v>177</v>
      </c>
      <c r="B76" s="33" t="str">
        <f>_xll.qlTreeCallableFixedRateBondEngine(B74,B75)</f>
        <v>欣[test_bonds.xlsx]CallableZeroCouponBond!R76C2TreeCallableFixedRateBondEngine,A</v>
      </c>
      <c r="C76" s="34" t="str">
        <f>_xll.qlTreeCallableFixedRateBondEngine(C74,C75)</f>
        <v>欣[test_bonds.xlsx]CallableZeroCouponBond!R76C3TreeCallableFixedRateBondEngine,A</v>
      </c>
    </row>
    <row r="77" spans="1:3" x14ac:dyDescent="0.25">
      <c r="A77" s="38" t="s">
        <v>150</v>
      </c>
      <c r="B77" s="33" t="b">
        <f>_xll.qlInstrumentSetPricingEngine(B70,B76)</f>
        <v>1</v>
      </c>
      <c r="C77" s="34" t="b">
        <f>_xll.qlInstrumentSetPricingEngine(C70,C76)</f>
        <v>1</v>
      </c>
    </row>
    <row r="78" spans="1:3" x14ac:dyDescent="0.25">
      <c r="A78" s="39" t="s">
        <v>33</v>
      </c>
      <c r="B78" s="40">
        <f>_xll.qlBondCleanPrice(B70,B77)</f>
        <v>86.90746669939648</v>
      </c>
      <c r="C78" s="41">
        <f>_xll.qlBondCleanPrice(C70,C77)</f>
        <v>86.90746669939648</v>
      </c>
    </row>
    <row r="79" spans="1:3" x14ac:dyDescent="0.25">
      <c r="A79" s="29" t="s">
        <v>179</v>
      </c>
      <c r="B79" s="30" t="str">
        <f>_xll.qlCallableZeroCouponBond(B4,B5,B6,B7,B8,,,,B15)</f>
        <v>欣[test_bonds.xlsx]CallableZeroCouponBond!R79C2CallableZeroCouponBond,A</v>
      </c>
      <c r="C79" s="31" t="str">
        <f>_xll.qlCallableZeroCouponBond(C4,C5,C6,C7,C8,C9,C10,C11,C15)</f>
        <v>欣[test_bonds.xlsx]CallableZeroCouponBond!R79C3CallableZeroCouponBond,A</v>
      </c>
    </row>
    <row r="80" spans="1:3" x14ac:dyDescent="0.25">
      <c r="A80" s="32" t="s">
        <v>172</v>
      </c>
      <c r="B80" s="33" t="str">
        <f>_xll.qlFlatForward($B$1,0.02,"actual365fixed")</f>
        <v>欣[test_bonds.xlsx]CallableZeroCouponBond!R80C2YieldTermStructureHandle,A</v>
      </c>
      <c r="C80" s="34" t="str">
        <f>_xll.qlFlatForward($B$1,0.02,"actual365fixed")</f>
        <v>欣[test_bonds.xlsx]CallableZeroCouponBond!R80C3YieldTermStructureHandle,A</v>
      </c>
    </row>
    <row r="81" spans="1:3" x14ac:dyDescent="0.25">
      <c r="A81" s="32" t="s">
        <v>173</v>
      </c>
      <c r="B81" s="33">
        <v>0.03</v>
      </c>
      <c r="C81" s="34">
        <v>0.03</v>
      </c>
    </row>
    <row r="82" spans="1:3" x14ac:dyDescent="0.25">
      <c r="A82" s="32" t="s">
        <v>174</v>
      </c>
      <c r="B82" s="33">
        <v>0.01</v>
      </c>
      <c r="C82" s="34">
        <v>0.01</v>
      </c>
    </row>
    <row r="83" spans="1:3" x14ac:dyDescent="0.25">
      <c r="A83" s="35" t="s">
        <v>175</v>
      </c>
      <c r="B83" s="33" t="str">
        <f>_xll.qlHullWhite(B80,B81,B82)</f>
        <v>欣[test_bonds.xlsx]CallableZeroCouponBond!R83C2HullWhite,A</v>
      </c>
      <c r="C83" s="34" t="str">
        <f>_xll.qlHullWhite(C80,C81,C82)</f>
        <v>欣[test_bonds.xlsx]CallableZeroCouponBond!R83C3HullWhite,A</v>
      </c>
    </row>
    <row r="84" spans="1:3" x14ac:dyDescent="0.25">
      <c r="A84" s="36" t="s">
        <v>180</v>
      </c>
      <c r="B84" s="33" t="str">
        <f>_xll.qlTimeGridFromTimes(B91:B206)</f>
        <v>欣[test_bonds.xlsx]CallableZeroCouponBond!R84C2TimeGrid,A</v>
      </c>
      <c r="C84" s="34" t="str">
        <f>_xll.qlTimeGridFromTimes(B91:B206)</f>
        <v>欣[test_bonds.xlsx]CallableZeroCouponBond!R84C3TimeGrid,A</v>
      </c>
    </row>
    <row r="85" spans="1:3" x14ac:dyDescent="0.25">
      <c r="A85" s="37" t="s">
        <v>177</v>
      </c>
      <c r="B85" s="33" t="str">
        <f>_xll.qlTreeCallableFixedRateBondEngine2(B83,B84)</f>
        <v>欣[test_bonds.xlsx]CallableZeroCouponBond!R85C2TreeCallableFixedRateBondEngine,A</v>
      </c>
      <c r="C85" s="34" t="str">
        <f>_xll.qlTreeCallableFixedRateBondEngine2(C83,C84)</f>
        <v>欣[test_bonds.xlsx]CallableZeroCouponBond!R85C3TreeCallableFixedRateBondEngine,A</v>
      </c>
    </row>
    <row r="86" spans="1:3" x14ac:dyDescent="0.25">
      <c r="A86" s="38" t="s">
        <v>150</v>
      </c>
      <c r="B86" s="33" t="b">
        <f>_xll.qlInstrumentSetPricingEngine(B79,B85)</f>
        <v>1</v>
      </c>
      <c r="C86" s="34" t="b">
        <f>_xll.qlInstrumentSetPricingEngine(C79,C85)</f>
        <v>1</v>
      </c>
    </row>
    <row r="87" spans="1:3" x14ac:dyDescent="0.25">
      <c r="A87" s="39" t="s">
        <v>33</v>
      </c>
      <c r="B87" s="40">
        <f>_xll.qlBondCleanPrice(B79,B86)</f>
        <v>86.905812107181106</v>
      </c>
      <c r="C87" s="41">
        <f>_xll.qlBondCleanPrice(C79,C86)</f>
        <v>86.905812107181106</v>
      </c>
    </row>
    <row r="91" spans="1:3" x14ac:dyDescent="0.25">
      <c r="A91" t="s">
        <v>178</v>
      </c>
      <c r="B91" s="3">
        <v>0</v>
      </c>
    </row>
    <row r="92" spans="1:3" x14ac:dyDescent="0.25">
      <c r="B92" s="3">
        <v>0.49589041095890402</v>
      </c>
    </row>
    <row r="93" spans="1:3" x14ac:dyDescent="0.25">
      <c r="B93" s="3">
        <v>1</v>
      </c>
    </row>
    <row r="94" spans="1:3" x14ac:dyDescent="0.25">
      <c r="B94" s="3">
        <v>1.4958904109589</v>
      </c>
    </row>
    <row r="95" spans="1:3" x14ac:dyDescent="0.25">
      <c r="B95" s="3">
        <v>2.0054794520547898</v>
      </c>
    </row>
    <row r="96" spans="1:3" x14ac:dyDescent="0.25">
      <c r="B96" s="3">
        <v>2.4958904109589</v>
      </c>
    </row>
    <row r="97" spans="2:2" x14ac:dyDescent="0.25">
      <c r="B97" s="3">
        <v>3</v>
      </c>
    </row>
    <row r="98" spans="2:2" x14ac:dyDescent="0.25">
      <c r="B98" s="3">
        <v>3.0027397260273898</v>
      </c>
    </row>
    <row r="99" spans="2:2" x14ac:dyDescent="0.25">
      <c r="B99" s="3">
        <v>3.5013698630136898</v>
      </c>
    </row>
    <row r="100" spans="2:2" x14ac:dyDescent="0.25">
      <c r="B100" s="3">
        <v>4.0027397260273903</v>
      </c>
    </row>
    <row r="101" spans="2:2" x14ac:dyDescent="0.25">
      <c r="B101" s="3">
        <v>4.4986301369863</v>
      </c>
    </row>
    <row r="102" spans="2:2" x14ac:dyDescent="0.25">
      <c r="B102" s="3">
        <v>5.0027397260273903</v>
      </c>
    </row>
    <row r="103" spans="2:2" x14ac:dyDescent="0.25">
      <c r="B103" s="3">
        <v>5.4986301369863</v>
      </c>
    </row>
    <row r="104" spans="2:2" x14ac:dyDescent="0.25">
      <c r="B104" s="3">
        <v>6.0027397260273903</v>
      </c>
    </row>
    <row r="105" spans="2:2" x14ac:dyDescent="0.25">
      <c r="B105" s="3">
        <v>6.4986301369863</v>
      </c>
    </row>
    <row r="106" spans="2:2" x14ac:dyDescent="0.25">
      <c r="B106" s="3">
        <v>7.0027397260273903</v>
      </c>
    </row>
    <row r="107" spans="2:2" x14ac:dyDescent="0.25">
      <c r="B107" s="3">
        <v>7.0077397260273901</v>
      </c>
    </row>
    <row r="108" spans="2:2" x14ac:dyDescent="0.25">
      <c r="B108" s="3">
        <v>7.01273972602739</v>
      </c>
    </row>
    <row r="109" spans="2:2" x14ac:dyDescent="0.25">
      <c r="B109" s="3">
        <v>7.0177397260273899</v>
      </c>
    </row>
    <row r="110" spans="2:2" x14ac:dyDescent="0.25">
      <c r="B110" s="3">
        <v>7.0227397260273898</v>
      </c>
    </row>
    <row r="111" spans="2:2" x14ac:dyDescent="0.25">
      <c r="B111" s="3">
        <v>7.0277397260273897</v>
      </c>
    </row>
    <row r="112" spans="2:2" x14ac:dyDescent="0.25">
      <c r="B112" s="3">
        <v>7.0327397260273896</v>
      </c>
    </row>
    <row r="113" spans="2:2" x14ac:dyDescent="0.25">
      <c r="B113" s="3">
        <v>7.0377397260273904</v>
      </c>
    </row>
    <row r="114" spans="2:2" x14ac:dyDescent="0.25">
      <c r="B114" s="3">
        <v>7.0427397260273903</v>
      </c>
    </row>
    <row r="115" spans="2:2" x14ac:dyDescent="0.25">
      <c r="B115" s="3">
        <v>7.0477397260273902</v>
      </c>
    </row>
    <row r="116" spans="2:2" x14ac:dyDescent="0.25">
      <c r="B116" s="3">
        <v>7.0527397260273901</v>
      </c>
    </row>
    <row r="117" spans="2:2" x14ac:dyDescent="0.25">
      <c r="B117" s="3">
        <v>7.05773972602739</v>
      </c>
    </row>
    <row r="118" spans="2:2" x14ac:dyDescent="0.25">
      <c r="B118" s="3">
        <v>7.0627397260273899</v>
      </c>
    </row>
    <row r="119" spans="2:2" x14ac:dyDescent="0.25">
      <c r="B119" s="3">
        <v>7.0677397260273898</v>
      </c>
    </row>
    <row r="120" spans="2:2" x14ac:dyDescent="0.25">
      <c r="B120" s="3">
        <v>7.0727397260273897</v>
      </c>
    </row>
    <row r="121" spans="2:2" x14ac:dyDescent="0.25">
      <c r="B121" s="3">
        <v>7.0777397260273904</v>
      </c>
    </row>
    <row r="122" spans="2:2" x14ac:dyDescent="0.25">
      <c r="B122" s="3">
        <v>7.0827397260273903</v>
      </c>
    </row>
    <row r="123" spans="2:2" x14ac:dyDescent="0.25">
      <c r="B123" s="3">
        <v>7.0877397260273902</v>
      </c>
    </row>
    <row r="124" spans="2:2" x14ac:dyDescent="0.25">
      <c r="B124" s="3">
        <v>7.0927397260273901</v>
      </c>
    </row>
    <row r="125" spans="2:2" x14ac:dyDescent="0.25">
      <c r="B125" s="3">
        <v>7.09773972602739</v>
      </c>
    </row>
    <row r="126" spans="2:2" x14ac:dyDescent="0.25">
      <c r="B126" s="3">
        <v>7.1027397260273899</v>
      </c>
    </row>
    <row r="127" spans="2:2" x14ac:dyDescent="0.25">
      <c r="B127" s="3">
        <v>7.1077397260273898</v>
      </c>
    </row>
    <row r="128" spans="2:2" x14ac:dyDescent="0.25">
      <c r="B128" s="3">
        <v>7.1127397260273897</v>
      </c>
    </row>
    <row r="129" spans="2:2" x14ac:dyDescent="0.25">
      <c r="B129" s="3">
        <v>7.1177397260273896</v>
      </c>
    </row>
    <row r="130" spans="2:2" x14ac:dyDescent="0.25">
      <c r="B130" s="3">
        <v>7.1227397260273904</v>
      </c>
    </row>
    <row r="131" spans="2:2" x14ac:dyDescent="0.25">
      <c r="B131" s="3">
        <v>7.1277397260273903</v>
      </c>
    </row>
    <row r="132" spans="2:2" x14ac:dyDescent="0.25">
      <c r="B132" s="3">
        <v>7.1327397260273901</v>
      </c>
    </row>
    <row r="133" spans="2:2" x14ac:dyDescent="0.25">
      <c r="B133" s="3">
        <v>7.13773972602739</v>
      </c>
    </row>
    <row r="134" spans="2:2" x14ac:dyDescent="0.25">
      <c r="B134" s="3">
        <v>7.1427397260273899</v>
      </c>
    </row>
    <row r="135" spans="2:2" x14ac:dyDescent="0.25">
      <c r="B135" s="3">
        <v>7.1477397260273898</v>
      </c>
    </row>
    <row r="136" spans="2:2" x14ac:dyDescent="0.25">
      <c r="B136" s="3">
        <v>7.1527397260273897</v>
      </c>
    </row>
    <row r="137" spans="2:2" x14ac:dyDescent="0.25">
      <c r="B137" s="3">
        <v>7.1577397260273896</v>
      </c>
    </row>
    <row r="138" spans="2:2" x14ac:dyDescent="0.25">
      <c r="B138" s="3">
        <v>7.1627397260273904</v>
      </c>
    </row>
    <row r="139" spans="2:2" x14ac:dyDescent="0.25">
      <c r="B139" s="3">
        <v>7.1677397260273903</v>
      </c>
    </row>
    <row r="140" spans="2:2" x14ac:dyDescent="0.25">
      <c r="B140" s="3">
        <v>7.1727397260273902</v>
      </c>
    </row>
    <row r="141" spans="2:2" x14ac:dyDescent="0.25">
      <c r="B141" s="3">
        <v>7.1777397260273901</v>
      </c>
    </row>
    <row r="142" spans="2:2" x14ac:dyDescent="0.25">
      <c r="B142" s="3">
        <v>7.18273972602739</v>
      </c>
    </row>
    <row r="143" spans="2:2" x14ac:dyDescent="0.25">
      <c r="B143" s="3">
        <v>7.1877397260273899</v>
      </c>
    </row>
    <row r="144" spans="2:2" x14ac:dyDescent="0.25">
      <c r="B144" s="3">
        <v>7.1927397260273898</v>
      </c>
    </row>
    <row r="145" spans="2:2" x14ac:dyDescent="0.25">
      <c r="B145" s="3">
        <v>7.1977397260273897</v>
      </c>
    </row>
    <row r="146" spans="2:2" x14ac:dyDescent="0.25">
      <c r="B146" s="3">
        <v>7.2027397260273904</v>
      </c>
    </row>
    <row r="147" spans="2:2" x14ac:dyDescent="0.25">
      <c r="B147" s="3">
        <v>7.2077397260273903</v>
      </c>
    </row>
    <row r="148" spans="2:2" x14ac:dyDescent="0.25">
      <c r="B148" s="3">
        <v>7.2127397260273902</v>
      </c>
    </row>
    <row r="149" spans="2:2" x14ac:dyDescent="0.25">
      <c r="B149" s="3">
        <v>7.2177397260273901</v>
      </c>
    </row>
    <row r="150" spans="2:2" x14ac:dyDescent="0.25">
      <c r="B150" s="3">
        <v>7.22273972602739</v>
      </c>
    </row>
    <row r="151" spans="2:2" x14ac:dyDescent="0.25">
      <c r="B151" s="3">
        <v>7.2277397260273899</v>
      </c>
    </row>
    <row r="152" spans="2:2" x14ac:dyDescent="0.25">
      <c r="B152" s="3">
        <v>7.2327397260273898</v>
      </c>
    </row>
    <row r="153" spans="2:2" x14ac:dyDescent="0.25">
      <c r="B153" s="3">
        <v>7.2377397260273897</v>
      </c>
    </row>
    <row r="154" spans="2:2" x14ac:dyDescent="0.25">
      <c r="B154" s="3">
        <v>7.2427397260273896</v>
      </c>
    </row>
    <row r="155" spans="2:2" x14ac:dyDescent="0.25">
      <c r="B155" s="3">
        <v>7.2477397260273904</v>
      </c>
    </row>
    <row r="156" spans="2:2" x14ac:dyDescent="0.25">
      <c r="B156" s="3">
        <v>7.2527397260273903</v>
      </c>
    </row>
    <row r="157" spans="2:2" x14ac:dyDescent="0.25">
      <c r="B157" s="3">
        <v>7.2577397260273901</v>
      </c>
    </row>
    <row r="158" spans="2:2" x14ac:dyDescent="0.25">
      <c r="B158" s="3">
        <v>7.26273972602739</v>
      </c>
    </row>
    <row r="159" spans="2:2" x14ac:dyDescent="0.25">
      <c r="B159" s="3">
        <v>7.2677397260273899</v>
      </c>
    </row>
    <row r="160" spans="2:2" x14ac:dyDescent="0.25">
      <c r="B160" s="3">
        <v>7.2727397260273898</v>
      </c>
    </row>
    <row r="161" spans="2:2" x14ac:dyDescent="0.25">
      <c r="B161" s="3">
        <v>7.2777397260273897</v>
      </c>
    </row>
    <row r="162" spans="2:2" x14ac:dyDescent="0.25">
      <c r="B162" s="3">
        <v>7.2827397260273896</v>
      </c>
    </row>
    <row r="163" spans="2:2" x14ac:dyDescent="0.25">
      <c r="B163" s="3">
        <v>7.2877397260273904</v>
      </c>
    </row>
    <row r="164" spans="2:2" x14ac:dyDescent="0.25">
      <c r="B164" s="3">
        <v>7.2927397260273903</v>
      </c>
    </row>
    <row r="165" spans="2:2" x14ac:dyDescent="0.25">
      <c r="B165" s="3">
        <v>7.2977397260273902</v>
      </c>
    </row>
    <row r="166" spans="2:2" x14ac:dyDescent="0.25">
      <c r="B166" s="3">
        <v>7.3027397260273901</v>
      </c>
    </row>
    <row r="167" spans="2:2" x14ac:dyDescent="0.25">
      <c r="B167" s="3">
        <v>7.30773972602739</v>
      </c>
    </row>
    <row r="168" spans="2:2" x14ac:dyDescent="0.25">
      <c r="B168" s="3">
        <v>7.3127397260273899</v>
      </c>
    </row>
    <row r="169" spans="2:2" x14ac:dyDescent="0.25">
      <c r="B169" s="3">
        <v>7.3177397260273898</v>
      </c>
    </row>
    <row r="170" spans="2:2" x14ac:dyDescent="0.25">
      <c r="B170" s="3">
        <v>7.3227397260273897</v>
      </c>
    </row>
    <row r="171" spans="2:2" x14ac:dyDescent="0.25">
      <c r="B171" s="3">
        <v>7.3277397260273904</v>
      </c>
    </row>
    <row r="172" spans="2:2" x14ac:dyDescent="0.25">
      <c r="B172" s="3">
        <v>7.3327397260273903</v>
      </c>
    </row>
    <row r="173" spans="2:2" x14ac:dyDescent="0.25">
      <c r="B173" s="3">
        <v>7.3377397260273902</v>
      </c>
    </row>
    <row r="174" spans="2:2" x14ac:dyDescent="0.25">
      <c r="B174" s="3">
        <v>7.3427397260273901</v>
      </c>
    </row>
    <row r="175" spans="2:2" x14ac:dyDescent="0.25">
      <c r="B175" s="3">
        <v>7.34773972602739</v>
      </c>
    </row>
    <row r="176" spans="2:2" x14ac:dyDescent="0.25">
      <c r="B176" s="3">
        <v>7.3527397260273899</v>
      </c>
    </row>
    <row r="177" spans="2:2" x14ac:dyDescent="0.25">
      <c r="B177" s="3">
        <v>7.3577397260273898</v>
      </c>
    </row>
    <row r="178" spans="2:2" x14ac:dyDescent="0.25">
      <c r="B178" s="3">
        <v>7.3627397260273897</v>
      </c>
    </row>
    <row r="179" spans="2:2" x14ac:dyDescent="0.25">
      <c r="B179" s="3">
        <v>7.3677397260273896</v>
      </c>
    </row>
    <row r="180" spans="2:2" x14ac:dyDescent="0.25">
      <c r="B180" s="3">
        <v>7.3727397260273904</v>
      </c>
    </row>
    <row r="181" spans="2:2" x14ac:dyDescent="0.25">
      <c r="B181" s="3">
        <v>7.3777397260273903</v>
      </c>
    </row>
    <row r="182" spans="2:2" x14ac:dyDescent="0.25">
      <c r="B182" s="3">
        <v>7.3827397260273901</v>
      </c>
    </row>
    <row r="183" spans="2:2" x14ac:dyDescent="0.25">
      <c r="B183" s="3">
        <v>7.38773972602739</v>
      </c>
    </row>
    <row r="184" spans="2:2" x14ac:dyDescent="0.25">
      <c r="B184" s="3">
        <v>7.3927397260273899</v>
      </c>
    </row>
    <row r="185" spans="2:2" x14ac:dyDescent="0.25">
      <c r="B185" s="3">
        <v>7.3977397260273898</v>
      </c>
    </row>
    <row r="186" spans="2:2" x14ac:dyDescent="0.25">
      <c r="B186" s="3">
        <v>7.4027397260273897</v>
      </c>
    </row>
    <row r="187" spans="2:2" x14ac:dyDescent="0.25">
      <c r="B187" s="3">
        <v>7.4077397260273896</v>
      </c>
    </row>
    <row r="188" spans="2:2" x14ac:dyDescent="0.25">
      <c r="B188" s="3">
        <v>7.4127397260273904</v>
      </c>
    </row>
    <row r="189" spans="2:2" x14ac:dyDescent="0.25">
      <c r="B189" s="3">
        <v>7.4177397260273903</v>
      </c>
    </row>
    <row r="190" spans="2:2" x14ac:dyDescent="0.25">
      <c r="B190" s="3">
        <v>7.4227397260273902</v>
      </c>
    </row>
    <row r="191" spans="2:2" x14ac:dyDescent="0.25">
      <c r="B191" s="3">
        <v>0.42773972602739702</v>
      </c>
    </row>
    <row r="192" spans="2:2" x14ac:dyDescent="0.25">
      <c r="B192" s="3">
        <v>7.43273972602739</v>
      </c>
    </row>
    <row r="193" spans="2:2" x14ac:dyDescent="0.25">
      <c r="B193" s="3">
        <v>7.4377397260273899</v>
      </c>
    </row>
    <row r="194" spans="2:2" x14ac:dyDescent="0.25">
      <c r="B194" s="3">
        <v>7.4427397260273898</v>
      </c>
    </row>
    <row r="195" spans="2:2" x14ac:dyDescent="0.25">
      <c r="B195" s="3">
        <v>7.4477397260273897</v>
      </c>
    </row>
    <row r="196" spans="2:2" x14ac:dyDescent="0.25">
      <c r="B196" s="3">
        <v>7.4527397260273904</v>
      </c>
    </row>
    <row r="197" spans="2:2" x14ac:dyDescent="0.25">
      <c r="B197" s="3">
        <v>7.4577397260273903</v>
      </c>
    </row>
    <row r="198" spans="2:2" x14ac:dyDescent="0.25">
      <c r="B198" s="3">
        <v>7.4627397260273902</v>
      </c>
    </row>
    <row r="199" spans="2:2" x14ac:dyDescent="0.25">
      <c r="B199" s="3">
        <v>7.4677397260273901</v>
      </c>
    </row>
    <row r="200" spans="2:2" x14ac:dyDescent="0.25">
      <c r="B200" s="3">
        <v>7.47273972602739</v>
      </c>
    </row>
    <row r="201" spans="2:2" x14ac:dyDescent="0.25">
      <c r="B201" s="3">
        <v>7.4777397260273899</v>
      </c>
    </row>
    <row r="202" spans="2:2" x14ac:dyDescent="0.25">
      <c r="B202" s="3">
        <v>7.4827397260273898</v>
      </c>
    </row>
    <row r="203" spans="2:2" x14ac:dyDescent="0.25">
      <c r="B203" s="3">
        <v>7.4877397260273897</v>
      </c>
    </row>
    <row r="204" spans="2:2" x14ac:dyDescent="0.25">
      <c r="B204" s="3">
        <v>7.4927397260273896</v>
      </c>
    </row>
    <row r="205" spans="2:2" x14ac:dyDescent="0.25">
      <c r="B205" s="3">
        <v>7.4977397260273904</v>
      </c>
    </row>
    <row r="206" spans="2:2" x14ac:dyDescent="0.25">
      <c r="B206" s="3">
        <v>7.5027397260273903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778A-9E41-4D83-BBAD-BAE5A92DD1A2}">
  <dimension ref="A1:C8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89" sqref="A89"/>
    </sheetView>
  </sheetViews>
  <sheetFormatPr baseColWidth="10" defaultColWidth="11.5703125" defaultRowHeight="15" x14ac:dyDescent="0.25"/>
  <cols>
    <col min="1" max="1" width="44.140625" customWidth="1"/>
    <col min="2" max="3" width="82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29" t="s">
        <v>14</v>
      </c>
      <c r="B4" s="30">
        <v>2</v>
      </c>
      <c r="C4" s="31">
        <v>2</v>
      </c>
    </row>
    <row r="5" spans="1:3" x14ac:dyDescent="0.25">
      <c r="A5" s="35" t="s">
        <v>15</v>
      </c>
      <c r="B5" s="33">
        <v>100</v>
      </c>
      <c r="C5" s="34">
        <v>100</v>
      </c>
    </row>
    <row r="6" spans="1:3" x14ac:dyDescent="0.25">
      <c r="A6" s="35" t="s">
        <v>181</v>
      </c>
      <c r="B6" s="33" t="b">
        <v>0</v>
      </c>
      <c r="C6" s="34" t="b">
        <v>0</v>
      </c>
    </row>
    <row r="7" spans="1:3" x14ac:dyDescent="0.25">
      <c r="A7" s="35" t="s">
        <v>182</v>
      </c>
      <c r="B7" s="33">
        <v>100</v>
      </c>
      <c r="C7" s="34">
        <v>100</v>
      </c>
    </row>
    <row r="8" spans="1:3" x14ac:dyDescent="0.25">
      <c r="A8" s="35" t="s">
        <v>183</v>
      </c>
      <c r="B8" s="33" t="s">
        <v>76</v>
      </c>
      <c r="C8" s="34" t="s">
        <v>76</v>
      </c>
    </row>
    <row r="9" spans="1:3" x14ac:dyDescent="0.25">
      <c r="A9" s="42" t="s">
        <v>186</v>
      </c>
      <c r="B9" s="30" t="s">
        <v>192</v>
      </c>
      <c r="C9" s="31" t="s">
        <v>192</v>
      </c>
    </row>
    <row r="10" spans="1:3" x14ac:dyDescent="0.25">
      <c r="A10" s="32" t="s">
        <v>187</v>
      </c>
      <c r="B10" s="33" t="str">
        <f>_xll.qlCustomRegion("TestRegion","TR")</f>
        <v>欣[test_bonds.xlsx]CPIBond!R10C2CustomRegion,A</v>
      </c>
      <c r="C10" s="34" t="str">
        <f>_xll.qlCustomRegion("TestRegion","TR")</f>
        <v>欣[test_bonds.xlsx]CPIBond!R10C3CustomRegion,A</v>
      </c>
    </row>
    <row r="11" spans="1:3" x14ac:dyDescent="0.25">
      <c r="A11" s="32" t="s">
        <v>188</v>
      </c>
      <c r="B11" s="33" t="b">
        <v>0</v>
      </c>
      <c r="C11" s="34" t="b">
        <v>0</v>
      </c>
    </row>
    <row r="12" spans="1:3" x14ac:dyDescent="0.25">
      <c r="A12" s="32" t="s">
        <v>189</v>
      </c>
      <c r="B12" s="33" t="s">
        <v>170</v>
      </c>
      <c r="C12" s="34" t="s">
        <v>170</v>
      </c>
    </row>
    <row r="13" spans="1:3" x14ac:dyDescent="0.25">
      <c r="A13" s="32" t="s">
        <v>190</v>
      </c>
      <c r="B13" s="33" t="s">
        <v>76</v>
      </c>
      <c r="C13" s="34" t="s">
        <v>76</v>
      </c>
    </row>
    <row r="14" spans="1:3" x14ac:dyDescent="0.25">
      <c r="A14" s="32" t="s">
        <v>103</v>
      </c>
      <c r="B14" s="33" t="s">
        <v>104</v>
      </c>
      <c r="C14" s="34" t="s">
        <v>104</v>
      </c>
    </row>
    <row r="15" spans="1:3" x14ac:dyDescent="0.25">
      <c r="A15" s="42" t="s">
        <v>193</v>
      </c>
      <c r="B15" s="50">
        <v>45293</v>
      </c>
      <c r="C15" s="51">
        <v>45293</v>
      </c>
    </row>
    <row r="16" spans="1:3" x14ac:dyDescent="0.25">
      <c r="A16" s="32" t="s">
        <v>193</v>
      </c>
      <c r="B16" s="52">
        <v>47485</v>
      </c>
      <c r="C16" s="53">
        <v>47485</v>
      </c>
    </row>
    <row r="17" spans="1:3" x14ac:dyDescent="0.25">
      <c r="A17" s="32" t="s">
        <v>194</v>
      </c>
      <c r="B17" s="33">
        <v>0.02</v>
      </c>
      <c r="C17" s="34">
        <v>0.02</v>
      </c>
    </row>
    <row r="18" spans="1:3" x14ac:dyDescent="0.25">
      <c r="A18" s="32" t="s">
        <v>194</v>
      </c>
      <c r="B18" s="33">
        <v>0.02</v>
      </c>
      <c r="C18" s="34">
        <v>0.02</v>
      </c>
    </row>
    <row r="19" spans="1:3" x14ac:dyDescent="0.25">
      <c r="A19" s="109" t="s">
        <v>191</v>
      </c>
      <c r="B19" s="40" t="str">
        <f>_xll.qlZeroInflationCurve($B$1,B15:B16,B17:B18,"Annual","Actual365fixed")</f>
        <v>欣[test_bonds.xlsx]CPIBond!R19C2ZeroInflationTermStructureHandle,A</v>
      </c>
      <c r="C19" s="41" t="str">
        <f>_xll.qlZeroInflationCurve($B$1,C15:C16,C17:C18,"Annual","Actual365fixed")</f>
        <v>欣[test_bonds.xlsx]CPIBond!R19C3ZeroInflationTermStructureHandle,A</v>
      </c>
    </row>
    <row r="20" spans="1:3" x14ac:dyDescent="0.25">
      <c r="A20" s="108" t="s">
        <v>184</v>
      </c>
      <c r="B20" s="40" t="str">
        <f>_xll.qlZeroInflationIndex(B9,B10,B11,B12,B13,B14,B19)</f>
        <v>欣[test_bonds.xlsx]CPIBond!R20C2ZeroInflationIndex,A</v>
      </c>
      <c r="C20" s="41" t="str">
        <f>_xll.qlZeroInflationIndex(C9,C10,C11,C12,C13,C14,C19)</f>
        <v>欣[test_bonds.xlsx]CPIBond!R20C3ZeroInflationIndex,A</v>
      </c>
    </row>
    <row r="21" spans="1:3" x14ac:dyDescent="0.25">
      <c r="A21" s="42" t="s">
        <v>128</v>
      </c>
      <c r="B21" s="50">
        <v>45293</v>
      </c>
      <c r="C21" s="51">
        <v>45293</v>
      </c>
    </row>
    <row r="22" spans="1:3" x14ac:dyDescent="0.25">
      <c r="A22" s="32" t="s">
        <v>195</v>
      </c>
      <c r="B22" s="33">
        <v>100</v>
      </c>
      <c r="C22" s="34">
        <v>100</v>
      </c>
    </row>
    <row r="23" spans="1:3" x14ac:dyDescent="0.25">
      <c r="A23" s="109" t="s">
        <v>196</v>
      </c>
      <c r="B23" s="40" t="b">
        <f>_xll.qlIndexAddFixing(B20,B21,B22,TRUE)</f>
        <v>1</v>
      </c>
      <c r="C23" s="41" t="b">
        <f>_xll.qlIndexAddFixing(C20,C21,C22,TRUE)</f>
        <v>1</v>
      </c>
    </row>
    <row r="24" spans="1:3" x14ac:dyDescent="0.25">
      <c r="A24" s="35" t="s">
        <v>185</v>
      </c>
      <c r="B24" s="33" t="s">
        <v>197</v>
      </c>
      <c r="C24" s="34" t="s">
        <v>197</v>
      </c>
    </row>
    <row r="25" spans="1:3" x14ac:dyDescent="0.25">
      <c r="A25" s="42" t="s">
        <v>73</v>
      </c>
      <c r="B25" s="50">
        <v>45659</v>
      </c>
      <c r="C25" s="51">
        <v>45659</v>
      </c>
    </row>
    <row r="26" spans="1:3" x14ac:dyDescent="0.25">
      <c r="A26" s="32" t="s">
        <v>74</v>
      </c>
      <c r="B26" s="52">
        <v>47485</v>
      </c>
      <c r="C26" s="53">
        <v>47485</v>
      </c>
    </row>
    <row r="27" spans="1:3" x14ac:dyDescent="0.25">
      <c r="A27" s="32" t="s">
        <v>46</v>
      </c>
      <c r="B27" s="33" t="s">
        <v>159</v>
      </c>
      <c r="C27" s="34" t="s">
        <v>159</v>
      </c>
    </row>
    <row r="28" spans="1:3" x14ac:dyDescent="0.25">
      <c r="A28" s="32" t="s">
        <v>60</v>
      </c>
      <c r="B28" s="33" t="s">
        <v>198</v>
      </c>
      <c r="C28" s="34" t="s">
        <v>198</v>
      </c>
    </row>
    <row r="29" spans="1:3" x14ac:dyDescent="0.25">
      <c r="A29" s="32" t="s">
        <v>47</v>
      </c>
      <c r="B29" s="33" t="s">
        <v>53</v>
      </c>
      <c r="C29" s="34" t="s">
        <v>53</v>
      </c>
    </row>
    <row r="30" spans="1:3" x14ac:dyDescent="0.25">
      <c r="A30" s="32" t="s">
        <v>75</v>
      </c>
      <c r="B30" s="33" t="s">
        <v>53</v>
      </c>
      <c r="C30" s="34" t="s">
        <v>53</v>
      </c>
    </row>
    <row r="31" spans="1:3" x14ac:dyDescent="0.25">
      <c r="A31" s="32" t="s">
        <v>77</v>
      </c>
      <c r="B31" s="33" t="s">
        <v>160</v>
      </c>
      <c r="C31" s="34" t="s">
        <v>160</v>
      </c>
    </row>
    <row r="32" spans="1:3" x14ac:dyDescent="0.25">
      <c r="A32" s="32" t="s">
        <v>78</v>
      </c>
      <c r="B32" s="33" t="b">
        <v>0</v>
      </c>
      <c r="C32" s="34" t="b">
        <v>0</v>
      </c>
    </row>
    <row r="33" spans="1:3" x14ac:dyDescent="0.25">
      <c r="A33" s="49" t="s">
        <v>65</v>
      </c>
      <c r="B33" s="40" t="str">
        <f>_xll.qlSchedule(B25,B26,B27,B28,B29,B30,B31,B32)</f>
        <v>欣[test_bonds.xlsx]CPIBond!R33C2Schedule,A</v>
      </c>
      <c r="C33" s="41" t="str">
        <f>_xll.qlSchedule(C25,C26,C27,C28,C29,C30,C31,C32)</f>
        <v>欣[test_bonds.xlsx]CPIBond!R33C3Schedule,A</v>
      </c>
    </row>
    <row r="34" spans="1:3" x14ac:dyDescent="0.25">
      <c r="A34" s="35" t="s">
        <v>66</v>
      </c>
      <c r="B34" s="33">
        <v>0.03</v>
      </c>
      <c r="C34" s="34">
        <v>0.03</v>
      </c>
    </row>
    <row r="35" spans="1:3" x14ac:dyDescent="0.25">
      <c r="A35" s="35" t="s">
        <v>83</v>
      </c>
      <c r="B35" s="33" t="s">
        <v>168</v>
      </c>
      <c r="C35" s="34" t="s">
        <v>168</v>
      </c>
    </row>
    <row r="36" spans="1:3" x14ac:dyDescent="0.25">
      <c r="A36" s="35" t="s">
        <v>84</v>
      </c>
      <c r="B36" s="33" t="s">
        <v>81</v>
      </c>
      <c r="C36" s="34" t="s">
        <v>81</v>
      </c>
    </row>
    <row r="37" spans="1:3" x14ac:dyDescent="0.25">
      <c r="A37" s="35" t="s">
        <v>17</v>
      </c>
      <c r="B37" s="52">
        <v>45689</v>
      </c>
      <c r="C37" s="53">
        <v>45689</v>
      </c>
    </row>
    <row r="38" spans="1:3" x14ac:dyDescent="0.25">
      <c r="A38" s="35" t="s">
        <v>68</v>
      </c>
      <c r="B38" s="33"/>
      <c r="C38" s="34" t="s">
        <v>198</v>
      </c>
    </row>
    <row r="39" spans="1:3" x14ac:dyDescent="0.25">
      <c r="A39" s="35" t="s">
        <v>69</v>
      </c>
      <c r="B39" s="33"/>
      <c r="C39" s="34" t="s">
        <v>76</v>
      </c>
    </row>
    <row r="40" spans="1:3" x14ac:dyDescent="0.25">
      <c r="A40" s="35" t="s">
        <v>70</v>
      </c>
      <c r="B40" s="33"/>
      <c r="C40" s="34" t="s">
        <v>198</v>
      </c>
    </row>
    <row r="41" spans="1:3" x14ac:dyDescent="0.25">
      <c r="A41" s="35" t="s">
        <v>71</v>
      </c>
      <c r="B41" s="33"/>
      <c r="C41" s="34" t="s">
        <v>64</v>
      </c>
    </row>
    <row r="42" spans="1:3" x14ac:dyDescent="0.25">
      <c r="A42" s="35" t="s">
        <v>72</v>
      </c>
      <c r="B42" s="33"/>
      <c r="C42" s="34" t="b">
        <v>0</v>
      </c>
    </row>
    <row r="43" spans="1:3" x14ac:dyDescent="0.25">
      <c r="A43" s="54" t="s">
        <v>199</v>
      </c>
      <c r="B43" s="40" t="str">
        <f>_xll.qlCPIBond(B4,B5,B6,B7,B8,B20,B24,B33,B34,B35,B36,B37)</f>
        <v>欣[test_bonds.xlsx]CPIBond!R43C2CPIBond,A</v>
      </c>
      <c r="C43" s="41" t="str">
        <f>_xll.qlCPIBond(C4,C5,C6,C7,C8,C20,C24,C33,C34,C35,C36,C37,C38,C39,C40,C41,C42)</f>
        <v>欣[test_bonds.xlsx]CPIBond!R43C3CPIBond,A</v>
      </c>
    </row>
    <row r="44" spans="1:3" x14ac:dyDescent="0.25">
      <c r="A44" s="111" t="s">
        <v>20</v>
      </c>
      <c r="B44" s="30">
        <f>_xll.qlBondNextCouponRate(B43)</f>
        <v>3.0906838410957833E-2</v>
      </c>
      <c r="C44" s="31">
        <f>_xll.qlBondNextCouponRate(C43)</f>
        <v>3.0906838410957833E-2</v>
      </c>
    </row>
    <row r="45" spans="1:3" x14ac:dyDescent="0.25">
      <c r="A45" s="80" t="s">
        <v>21</v>
      </c>
      <c r="B45" s="78">
        <f>_xll.qlBondPreviousCouponRate(B43)</f>
        <v>0</v>
      </c>
      <c r="C45" s="79">
        <f>_xll.qlBondPreviousCouponRate(C43)</f>
        <v>0</v>
      </c>
    </row>
    <row r="46" spans="1:3" x14ac:dyDescent="0.25">
      <c r="A46" s="37" t="s">
        <v>22</v>
      </c>
      <c r="B46" s="52">
        <f>_xll.qlBondNextCashFlowDate(B43)</f>
        <v>45840</v>
      </c>
      <c r="C46" s="53">
        <f>_xll.qlBondNextCashFlowDate(C43)</f>
        <v>45840</v>
      </c>
    </row>
    <row r="47" spans="1:3" x14ac:dyDescent="0.25">
      <c r="A47" s="80" t="s">
        <v>23</v>
      </c>
      <c r="B47" s="113">
        <f>_xll.qlBondPreviousCashFlowDate(B43)</f>
        <v>0</v>
      </c>
      <c r="C47" s="106">
        <f>_xll.qlBondPreviousCashFlowDate(C43)</f>
        <v>0</v>
      </c>
    </row>
    <row r="48" spans="1:3" x14ac:dyDescent="0.25">
      <c r="A48" s="112" t="s">
        <v>24</v>
      </c>
      <c r="B48" s="33">
        <f>_xll.qlBondSettlementDays(B43)</f>
        <v>2</v>
      </c>
      <c r="C48" s="34">
        <f>_xll.qlBondSettlementDays(C43)</f>
        <v>2</v>
      </c>
    </row>
    <row r="49" spans="1:3" x14ac:dyDescent="0.25">
      <c r="A49" s="80" t="s">
        <v>25</v>
      </c>
      <c r="B49" s="113">
        <f>_xll.qlBondSettlementDate(B43)</f>
        <v>45689</v>
      </c>
      <c r="C49" s="106">
        <f>_xll.qlBondSettlementDate(C43)</f>
        <v>45689</v>
      </c>
    </row>
    <row r="50" spans="1:3" x14ac:dyDescent="0.25">
      <c r="A50" s="37" t="s">
        <v>26</v>
      </c>
      <c r="B50" s="33" t="b">
        <f>_xll.qlBondIsTradable(B43)</f>
        <v>1</v>
      </c>
      <c r="C50" s="34" t="b">
        <f>_xll.qlBondIsTradable(C43)</f>
        <v>1</v>
      </c>
    </row>
    <row r="51" spans="1:3" x14ac:dyDescent="0.25">
      <c r="A51" s="80" t="s">
        <v>27</v>
      </c>
      <c r="B51" s="113">
        <f>_xll.qlBondStartDate(B43)</f>
        <v>45659</v>
      </c>
      <c r="C51" s="106">
        <f>_xll.qlBondStartDate(C43)</f>
        <v>45659</v>
      </c>
    </row>
    <row r="52" spans="1:3" x14ac:dyDescent="0.25">
      <c r="A52" s="112" t="s">
        <v>28</v>
      </c>
      <c r="B52" s="52">
        <f>_xll.qlBondMaturityDate(B43)</f>
        <v>47485</v>
      </c>
      <c r="C52" s="53">
        <f>_xll.qlBondMaturityDate(C43)</f>
        <v>47485</v>
      </c>
    </row>
    <row r="53" spans="1:3" x14ac:dyDescent="0.25">
      <c r="A53" s="114" t="s">
        <v>29</v>
      </c>
      <c r="B53" s="113">
        <f>_xll.qlBondIssueDate(B43)</f>
        <v>45689</v>
      </c>
      <c r="C53" s="106">
        <f>_xll.qlBondIssueDate(C43)</f>
        <v>45689</v>
      </c>
    </row>
    <row r="54" spans="1:3" x14ac:dyDescent="0.25">
      <c r="A54" s="37" t="s">
        <v>30</v>
      </c>
      <c r="B54" s="33" t="str">
        <f>_xll.qlBondCashFlows(B43)</f>
        <v>欣[test_bonds.xlsx]CPIBond!R54C2CashFlow,A</v>
      </c>
      <c r="C54" s="34" t="str">
        <f>_xll.qlBondCashFlows(C43)</f>
        <v>欣[test_bonds.xlsx]CPIBond!R54C3CashFlow,A</v>
      </c>
    </row>
    <row r="55" spans="1:3" x14ac:dyDescent="0.25">
      <c r="A55" s="80" t="s">
        <v>57</v>
      </c>
      <c r="B55" s="78" t="str">
        <f>_xll.qlBondRedemption(B43)</f>
        <v>欣[test_bonds.xlsx]CPIBond!R55C2CashFlow,A</v>
      </c>
      <c r="C55" s="79" t="str">
        <f>_xll.qlBondRedemption(C43)</f>
        <v>欣[test_bonds.xlsx]CPIBond!R55C3CashFlow,A</v>
      </c>
    </row>
    <row r="56" spans="1:3" x14ac:dyDescent="0.25">
      <c r="A56" s="112" t="s">
        <v>58</v>
      </c>
      <c r="B56" s="33" t="str">
        <f>_xll.qlBondRedemptions(B43)</f>
        <v>欣[test_bonds.xlsx]CPIBond!R56C2CashFlow,A</v>
      </c>
      <c r="C56" s="34" t="str">
        <f>_xll.qlBondRedemptions(C43)</f>
        <v>欣[test_bonds.xlsx]CPIBond!R56C3CashFlow,A</v>
      </c>
    </row>
    <row r="57" spans="1:3" x14ac:dyDescent="0.25">
      <c r="A57" s="80" t="s">
        <v>31</v>
      </c>
      <c r="B57" s="78" t="str">
        <f>_xll.qlBondCalendar(B43)</f>
        <v>TARGET</v>
      </c>
      <c r="C57" s="79" t="str">
        <f>_xll.qlBondCalendar(C43)</f>
        <v>TARGET</v>
      </c>
    </row>
    <row r="58" spans="1:3" x14ac:dyDescent="0.25">
      <c r="A58" s="37" t="s">
        <v>32</v>
      </c>
      <c r="B58" s="33">
        <f>_xll.qlBondNotional(B43)</f>
        <v>100</v>
      </c>
      <c r="C58" s="34">
        <f>_xll.qlBondNotional(C43)</f>
        <v>100</v>
      </c>
    </row>
    <row r="59" spans="1:3" x14ac:dyDescent="0.25">
      <c r="A59" s="61" t="s">
        <v>59</v>
      </c>
      <c r="B59" s="78">
        <f>_xll.qlBondNotionals(B43)</f>
        <v>100</v>
      </c>
      <c r="C59" s="79">
        <f>_xll.qlBondNotionals(C43)</f>
        <v>100</v>
      </c>
    </row>
    <row r="60" spans="1:3" x14ac:dyDescent="0.25">
      <c r="A60" s="56" t="s">
        <v>55</v>
      </c>
      <c r="B60" s="30" t="str">
        <f>_xll.qlFlatForward(B1,0.03,"actual360","compounded","Annual")</f>
        <v>欣[test_bonds.xlsx]CPIBond!R60C2YieldTermStructureHandle,A</v>
      </c>
      <c r="C60" s="31" t="str">
        <f>_xll.qlFlatForward(C1,0.03,"actual360","compounded","Annual")</f>
        <v>欣[test_bonds.xlsx]CPIBond!R60C3YieldTermStructureHandle,A</v>
      </c>
    </row>
    <row r="61" spans="1:3" x14ac:dyDescent="0.25">
      <c r="A61" s="39" t="s">
        <v>151</v>
      </c>
      <c r="B61" s="40" t="str">
        <f>_xll.qlDiscountingBondEngine(B60)</f>
        <v>欣[test_bonds.xlsx]CPIBond!R61C2DiscountingBondEngine,A</v>
      </c>
      <c r="C61" s="41" t="str">
        <f>_xll.qlDiscountingBondEngine(C60)</f>
        <v>欣[test_bonds.xlsx]CPIBond!R61C3DiscountingBondEngine,A</v>
      </c>
    </row>
    <row r="62" spans="1:3" x14ac:dyDescent="0.25">
      <c r="A62" s="36" t="s">
        <v>152</v>
      </c>
      <c r="B62" s="33" t="b">
        <f>_xll.qlInstrumentSetPricingEngine(B43,B61)</f>
        <v>1</v>
      </c>
      <c r="C62" s="34" t="b">
        <f>_xll.qlInstrumentSetPricingEngine(C43,C61)</f>
        <v>1</v>
      </c>
    </row>
    <row r="63" spans="1:3" x14ac:dyDescent="0.25">
      <c r="A63" s="37" t="s">
        <v>33</v>
      </c>
      <c r="B63" s="72">
        <f>_xll.qlBondCleanPrice(B43,B62)</f>
        <v>109.81755839471742</v>
      </c>
      <c r="C63" s="73">
        <f>_xll.qlBondCleanPrice(C43,C62)</f>
        <v>109.81755839471738</v>
      </c>
    </row>
    <row r="64" spans="1:3" x14ac:dyDescent="0.25">
      <c r="A64" s="56" t="s">
        <v>56</v>
      </c>
      <c r="B64" s="57">
        <v>2.9558808088302614E-2</v>
      </c>
      <c r="C64" s="58">
        <v>2.9558808088302614E-2</v>
      </c>
    </row>
    <row r="65" spans="1:3" x14ac:dyDescent="0.25">
      <c r="A65" s="39" t="s">
        <v>34</v>
      </c>
      <c r="B65" s="59">
        <f>_xll.qlBondCleanPrice2(B43,B64,"actual360","continuous")</f>
        <v>109.81755538345057</v>
      </c>
      <c r="C65" s="60">
        <f>_xll.qlBondCleanPrice2(C43,C64,"actual360","continuous")</f>
        <v>109.81755538345057</v>
      </c>
    </row>
    <row r="66" spans="1:3" x14ac:dyDescent="0.25">
      <c r="A66" s="37" t="s">
        <v>35</v>
      </c>
      <c r="B66" s="72">
        <f>_xll.qlBondDirtyPrice(B43,B62)</f>
        <v>110.06455373642939</v>
      </c>
      <c r="C66" s="73">
        <f>_xll.qlBondDirtyPrice(C43,C62)</f>
        <v>110.06455373642935</v>
      </c>
    </row>
    <row r="67" spans="1:3" x14ac:dyDescent="0.25">
      <c r="A67" s="61" t="s">
        <v>36</v>
      </c>
      <c r="B67" s="62">
        <f>_xll.qlBondDirtyPrice2(B43,B64,"actual360","CONTINUOUS","annual")</f>
        <v>110.06455072516253</v>
      </c>
      <c r="C67" s="63">
        <f>_xll.qlBondDirtyPrice2(C43,C64,"actual360","CONTINUOUS","annual")</f>
        <v>110.06455072516253</v>
      </c>
    </row>
    <row r="68" spans="1:3" x14ac:dyDescent="0.25">
      <c r="A68" s="37" t="s">
        <v>37</v>
      </c>
      <c r="B68" s="72">
        <f>_xll.qlBondYield(B43,"actual360","CONTINUOUS","annual",,,B62)</f>
        <v>2.9558808088302614E-2</v>
      </c>
      <c r="C68" s="73">
        <f>_xll.qlBondYield(C43,"actual360","CONTINUOUS","annual",,,C62)</f>
        <v>2.9558808088302614E-2</v>
      </c>
    </row>
    <row r="69" spans="1:3" x14ac:dyDescent="0.25">
      <c r="A69" s="56" t="s">
        <v>120</v>
      </c>
      <c r="B69" s="57" t="str">
        <f>_xll.qlBondPrice(B63,"clean")</f>
        <v>欣[test_bonds.xlsx]CPIBond!R69C2BondPrice,A</v>
      </c>
      <c r="C69" s="58" t="str">
        <f>_xll.qlBondPrice(C63,"clean")</f>
        <v>欣[test_bonds.xlsx]CPIBond!R69C3BondPrice,A</v>
      </c>
    </row>
    <row r="70" spans="1:3" x14ac:dyDescent="0.25">
      <c r="A70" s="39" t="s">
        <v>38</v>
      </c>
      <c r="B70" s="59">
        <f>_xll.qlBondYield2(B43,B69,"actual360","CONTINUOUS","annual")</f>
        <v>3.0038936376571658E-2</v>
      </c>
      <c r="C70" s="60">
        <f>_xll.qlBondYield2(C43,C69,"actual360","CONTINUOUS","annual")</f>
        <v>3.0038936376571658E-2</v>
      </c>
    </row>
    <row r="71" spans="1:3" x14ac:dyDescent="0.25">
      <c r="A71" s="56" t="s">
        <v>54</v>
      </c>
      <c r="B71" s="50">
        <v>45667</v>
      </c>
      <c r="C71" s="51">
        <v>45667</v>
      </c>
    </row>
    <row r="72" spans="1:3" x14ac:dyDescent="0.25">
      <c r="A72" s="39" t="s">
        <v>39</v>
      </c>
      <c r="B72" s="59">
        <f>_xll.qlBondAccruedAmount(B43,B71)</f>
        <v>6.57859407282088E-2</v>
      </c>
      <c r="C72" s="60">
        <f>_xll.qlBondAccruedAmount(C43,C71)</f>
        <v>6.57859407282088E-2</v>
      </c>
    </row>
    <row r="73" spans="1:3" x14ac:dyDescent="0.25">
      <c r="A73" s="37" t="s">
        <v>40</v>
      </c>
      <c r="B73" s="72">
        <f>_xll.qlBondSettlementValue(B43,B62)</f>
        <v>110.06455373642939</v>
      </c>
      <c r="C73" s="73">
        <f>_xll.qlBondSettlementValue(C43,C62)</f>
        <v>110.06455373642936</v>
      </c>
    </row>
    <row r="74" spans="1:3" x14ac:dyDescent="0.25">
      <c r="A74" s="61" t="s">
        <v>41</v>
      </c>
      <c r="B74" s="62">
        <f>_xll.qlBondSettlementValue2(B43,B63)</f>
        <v>110.06455373642939</v>
      </c>
      <c r="C74" s="63">
        <f>_xll.qlBondSettlementValue2(C43,C63)</f>
        <v>110.06455373642933</v>
      </c>
    </row>
    <row r="75" spans="1:3" x14ac:dyDescent="0.25">
      <c r="A75" s="56" t="s">
        <v>154</v>
      </c>
      <c r="B75" s="57" t="str">
        <f>_xll.qlFlatForward($B$1,0.03,"actual365fixed")</f>
        <v>欣[test_bonds.xlsx]CPIBond!R75C2YieldTermStructureHandle,A</v>
      </c>
      <c r="C75" s="58" t="str">
        <f>_xll.qlFlatForward($B$1,0.03,"actual365fixed")</f>
        <v>欣[test_bonds.xlsx]CPIBond!R75C3YieldTermStructureHandle,A</v>
      </c>
    </row>
    <row r="76" spans="1:3" x14ac:dyDescent="0.25">
      <c r="A76" s="36" t="s">
        <v>163</v>
      </c>
      <c r="B76" s="72">
        <v>5.0000000000000001E-3</v>
      </c>
      <c r="C76" s="73">
        <v>5.0000000000000001E-3</v>
      </c>
    </row>
    <row r="77" spans="1:3" x14ac:dyDescent="0.25">
      <c r="A77" s="36" t="s">
        <v>165</v>
      </c>
      <c r="B77" s="72" t="s">
        <v>168</v>
      </c>
      <c r="C77" s="73" t="s">
        <v>168</v>
      </c>
    </row>
    <row r="78" spans="1:3" x14ac:dyDescent="0.25">
      <c r="A78" s="36" t="s">
        <v>164</v>
      </c>
      <c r="B78" s="72" t="s">
        <v>169</v>
      </c>
      <c r="C78" s="73" t="s">
        <v>169</v>
      </c>
    </row>
    <row r="79" spans="1:3" x14ac:dyDescent="0.25">
      <c r="A79" s="36" t="s">
        <v>166</v>
      </c>
      <c r="B79" s="72" t="s">
        <v>170</v>
      </c>
      <c r="C79" s="73" t="s">
        <v>170</v>
      </c>
    </row>
    <row r="80" spans="1:3" x14ac:dyDescent="0.25">
      <c r="A80" s="36" t="s">
        <v>167</v>
      </c>
      <c r="B80" s="72"/>
      <c r="C80" s="53">
        <v>45659</v>
      </c>
    </row>
    <row r="81" spans="1:3" x14ac:dyDescent="0.25">
      <c r="A81" s="39" t="s">
        <v>162</v>
      </c>
      <c r="B81" s="40">
        <f>_xll.qlBondCleanPriceFromZSpread(B43,B75,B76,B77,B78,B79)</f>
        <v>107.37186093315256</v>
      </c>
      <c r="C81" s="41">
        <f>_xll.qlBondCleanPriceFromZSpread(C43,C75,C76,C77,C78,C79,C80)</f>
        <v>107.31111950834615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Tabs</vt:lpstr>
      <vt:lpstr>BondPrice</vt:lpstr>
      <vt:lpstr>BondSinkingSchedule_Notionals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2026-09-01T10:39:32Z</dcterms:modified>
</cp:coreProperties>
</file>