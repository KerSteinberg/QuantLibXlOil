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rst\Desktop\FRAME\Pricing Software\Quantlib\QuantLibXlOil\tests\workbooktests\workbooks\"/>
    </mc:Choice>
  </mc:AlternateContent>
  <xr:revisionPtr revIDLastSave="0" documentId="13_ncr:1_{B5E1031B-F582-4293-9CBA-265D2DD7D76B}" xr6:coauthVersionLast="47" xr6:coauthVersionMax="47" xr10:uidLastSave="{00000000-0000-0000-0000-000000000000}"/>
  <bookViews>
    <workbookView xWindow="-120" yWindow="-120" windowWidth="29040" windowHeight="15720" xr2:uid="{A576409D-E527-4FE8-BADF-F8DE357B9837}"/>
  </bookViews>
  <sheets>
    <sheet name="Tabs" sheetId="1" r:id="rId1"/>
    <sheet name="Seasonality" sheetId="34" r:id="rId2"/>
    <sheet name="Region" sheetId="35" r:id="rId3"/>
    <sheet name="InflationUtilities" sheetId="36" r:id="rId4"/>
    <sheet name="ZeroInflationIndex" sheetId="37" r:id="rId5"/>
    <sheet name="YoYInflationIndex" sheetId="38" r:id="rId6"/>
    <sheet name="ZeroCouponInflationSwapHelper" sheetId="39" r:id="rId7"/>
    <sheet name="YoYInflationSwapHelper" sheetId="40" r:id="rId8"/>
    <sheet name="YoYInflationCoupon" sheetId="41" r:id="rId9"/>
    <sheet name="CappedFlooredYoYInflationCoupon" sheetId="42" r:id="rId10"/>
    <sheet name="CPICoupon" sheetId="17" r:id="rId11"/>
    <sheet name="ZeroInflationCurve" sheetId="7" r:id="rId12"/>
    <sheet name="ZeroPiecewiseInflationCurve" sheetId="9" r:id="rId13"/>
    <sheet name="YoYInflationCurve" sheetId="12" r:id="rId14"/>
    <sheet name="YoYPiecewiseInflationCurve" sheetId="11" r:id="rId15"/>
    <sheet name="CPIUtilities" sheetId="18" r:id="rId16"/>
    <sheet name="CPIInflationCashFlow" sheetId="19" r:id="rId17"/>
    <sheet name="CPILeg" sheetId="20" r:id="rId18"/>
    <sheet name="ZeroInflationCashFlow" sheetId="21" r:id="rId19"/>
    <sheet name="YoYInflationLeg" sheetId="22" r:id="rId20"/>
    <sheet name="InterpolatedYoYOptionletVolatil" sheetId="24" r:id="rId21"/>
    <sheet name="YoYInflationCapFloorTermPriceSu" sheetId="25" r:id="rId22"/>
    <sheet name="ZeroCouponInflationSwap" sheetId="26" r:id="rId23"/>
    <sheet name="YoYInflationSwap" sheetId="27" r:id="rId24"/>
    <sheet name="CPISwap" sheetId="28" r:id="rId25"/>
    <sheet name="YoYInflationCapFloor" sheetId="30" r:id="rId26"/>
    <sheet name="YoYInflationCap" sheetId="29" r:id="rId27"/>
    <sheet name="YoYInflationFloor" sheetId="31" r:id="rId28"/>
    <sheet name="YoYInflationCollar" sheetId="32" r:id="rId29"/>
    <sheet name="YoYOptionletHelper" sheetId="33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9" i="28" l="1"/>
  <c r="B49" i="28"/>
  <c r="C40" i="27"/>
  <c r="B40" i="27"/>
  <c r="C28" i="26"/>
  <c r="B28" i="26"/>
  <c r="B65" i="38"/>
  <c r="B51" i="38"/>
  <c r="C12" i="22"/>
  <c r="B2" i="33"/>
  <c r="B2" i="30"/>
  <c r="B2" i="12"/>
  <c r="B9" i="19"/>
  <c r="B2" i="40"/>
  <c r="B47" i="37"/>
  <c r="B32" i="34"/>
  <c r="B21" i="12"/>
  <c r="B34" i="34"/>
  <c r="B48" i="12"/>
  <c r="B14" i="40"/>
  <c r="B35" i="34"/>
  <c r="C9" i="19"/>
  <c r="B45" i="37"/>
  <c r="B57" i="38"/>
  <c r="C14" i="20"/>
  <c r="C20" i="39"/>
  <c r="B2" i="7"/>
  <c r="B9" i="21"/>
  <c r="B2" i="28"/>
  <c r="C17" i="28" s="1"/>
  <c r="C13" i="30"/>
  <c r="C19" i="30" s="1"/>
  <c r="B20" i="12"/>
  <c r="B42" i="12" s="1"/>
  <c r="C14" i="40"/>
  <c r="B38" i="34"/>
  <c r="B44" i="12"/>
  <c r="B49" i="12"/>
  <c r="B2" i="39"/>
  <c r="C14" i="39" s="1"/>
  <c r="B21" i="7"/>
  <c r="B47" i="7"/>
  <c r="B13" i="30"/>
  <c r="D19" i="12"/>
  <c r="B30" i="12"/>
  <c r="B16" i="21"/>
  <c r="B18" i="21"/>
  <c r="B2" i="11"/>
  <c r="B2" i="32"/>
  <c r="B13" i="32" s="1"/>
  <c r="B2" i="34"/>
  <c r="B13" i="36"/>
  <c r="B43" i="12"/>
  <c r="B6" i="36"/>
  <c r="B49" i="37"/>
  <c r="B25" i="11"/>
  <c r="B2" i="31"/>
  <c r="B13" i="31" s="1"/>
  <c r="B63" i="38"/>
  <c r="B50" i="12"/>
  <c r="C17" i="19"/>
  <c r="B2" i="42"/>
  <c r="C13" i="42" s="1"/>
  <c r="B6" i="35"/>
  <c r="B49" i="38"/>
  <c r="B45" i="38"/>
  <c r="C15" i="20"/>
  <c r="C33" i="20" s="1"/>
  <c r="B2" i="38"/>
  <c r="B43" i="38"/>
  <c r="B2" i="41"/>
  <c r="B49" i="41" s="1"/>
  <c r="D25" i="11"/>
  <c r="B19" i="30"/>
  <c r="B20" i="30" s="1"/>
  <c r="B28" i="7"/>
  <c r="B48" i="38"/>
  <c r="B17" i="28"/>
  <c r="B24" i="12"/>
  <c r="B45" i="12"/>
  <c r="B17" i="19"/>
  <c r="B19" i="19" s="1"/>
  <c r="B2" i="26"/>
  <c r="B2" i="17"/>
  <c r="B2" i="27"/>
  <c r="C14" i="27" s="1"/>
  <c r="C25" i="27" s="1"/>
  <c r="B61" i="38"/>
  <c r="D19" i="11"/>
  <c r="B18" i="36"/>
  <c r="B51" i="37"/>
  <c r="B2" i="24"/>
  <c r="B55" i="38"/>
  <c r="B64" i="38"/>
  <c r="B33" i="34"/>
  <c r="B45" i="7"/>
  <c r="B48" i="7"/>
  <c r="B66" i="38"/>
  <c r="B20" i="28"/>
  <c r="B46" i="12"/>
  <c r="B22" i="12"/>
  <c r="D20" i="11"/>
  <c r="C20" i="30"/>
  <c r="C18" i="19"/>
  <c r="D23" i="11"/>
  <c r="C26" i="30"/>
  <c r="C30" i="30" s="1"/>
  <c r="B2" i="29"/>
  <c r="B26" i="7"/>
  <c r="B39" i="12"/>
  <c r="B19" i="24"/>
  <c r="B12" i="22"/>
  <c r="B14" i="22" s="1"/>
  <c r="B99" i="17"/>
  <c r="B57" i="37"/>
  <c r="B53" i="38"/>
  <c r="B19" i="11"/>
  <c r="B20" i="11" s="1"/>
  <c r="B10" i="34"/>
  <c r="B16" i="34"/>
  <c r="B53" i="37"/>
  <c r="B47" i="38"/>
  <c r="B14" i="27"/>
  <c r="B25" i="27" s="1"/>
  <c r="B13" i="42"/>
  <c r="B14" i="42" s="1"/>
  <c r="B20" i="7"/>
  <c r="B43" i="7"/>
  <c r="B44" i="7"/>
  <c r="B46" i="38"/>
  <c r="C20" i="28"/>
  <c r="B47" i="12"/>
  <c r="B26" i="12"/>
  <c r="B42" i="7"/>
  <c r="B50" i="41"/>
  <c r="B14" i="31"/>
  <c r="C15" i="39"/>
  <c r="B13" i="29"/>
  <c r="C14" i="42"/>
  <c r="D26" i="11"/>
  <c r="B21" i="21"/>
  <c r="B26" i="30"/>
  <c r="B30" i="30" s="1"/>
  <c r="B58" i="42"/>
  <c r="B13" i="41"/>
  <c r="B14" i="41" s="1"/>
  <c r="D19" i="7"/>
  <c r="B24" i="7"/>
  <c r="B52" i="38"/>
  <c r="B62" i="38"/>
  <c r="C13" i="41"/>
  <c r="C14" i="41" s="1"/>
  <c r="B28" i="12"/>
  <c r="B34" i="12"/>
  <c r="B49" i="7"/>
  <c r="B17" i="21"/>
  <c r="B59" i="38"/>
  <c r="B7" i="35"/>
  <c r="C9" i="21"/>
  <c r="C16" i="21" s="1"/>
  <c r="B2" i="9"/>
  <c r="B100" i="17"/>
  <c r="B103" i="17" s="1"/>
  <c r="B24" i="42"/>
  <c r="B25" i="42"/>
  <c r="B2" i="18"/>
  <c r="B14" i="20"/>
  <c r="B15" i="20" s="1"/>
  <c r="B67" i="38"/>
  <c r="B8" i="35"/>
  <c r="B2" i="37"/>
  <c r="C14" i="22"/>
  <c r="C30" i="22" s="1"/>
  <c r="B2" i="25"/>
  <c r="B15" i="33"/>
  <c r="B16" i="33" s="1"/>
  <c r="B43" i="37"/>
  <c r="B14" i="39"/>
  <c r="B15" i="39" s="1"/>
  <c r="B55" i="37"/>
  <c r="C24" i="42"/>
  <c r="C35" i="42"/>
  <c r="C25" i="42"/>
  <c r="C33" i="42"/>
  <c r="C30" i="42"/>
  <c r="C19" i="19"/>
  <c r="C27" i="42"/>
  <c r="C29" i="42"/>
  <c r="C37" i="42"/>
  <c r="C32" i="42"/>
  <c r="C36" i="42"/>
  <c r="B48" i="30"/>
  <c r="C28" i="42"/>
  <c r="C34" i="42"/>
  <c r="C31" i="42"/>
  <c r="C48" i="30"/>
  <c r="C22" i="41"/>
  <c r="B18" i="19"/>
  <c r="C29" i="41"/>
  <c r="C26" i="42"/>
  <c r="B49" i="30"/>
  <c r="B50" i="30" s="1"/>
  <c r="C38" i="42"/>
  <c r="C39" i="42"/>
  <c r="B14" i="32"/>
  <c r="C25" i="41"/>
  <c r="B46" i="7"/>
  <c r="B22" i="7"/>
  <c r="B30" i="7"/>
  <c r="D20" i="12"/>
  <c r="D21" i="12"/>
  <c r="B19" i="21"/>
  <c r="B20" i="21"/>
  <c r="B22" i="21"/>
  <c r="C5" i="38"/>
  <c r="B5" i="38"/>
  <c r="B16" i="38" s="1"/>
  <c r="B68" i="38"/>
  <c r="B58" i="38"/>
  <c r="B56" i="38"/>
  <c r="B54" i="38"/>
  <c r="B50" i="38"/>
  <c r="B60" i="38"/>
  <c r="B16" i="26"/>
  <c r="B17" i="26" s="1"/>
  <c r="C16" i="26"/>
  <c r="C17" i="26" s="1"/>
  <c r="C54" i="17"/>
  <c r="C55" i="17" s="1"/>
  <c r="B54" i="17"/>
  <c r="B55" i="17" s="1"/>
  <c r="C13" i="17"/>
  <c r="C14" i="17" s="1"/>
  <c r="B13" i="17"/>
  <c r="B14" i="17" s="1"/>
  <c r="B23" i="11"/>
  <c r="B26" i="11"/>
  <c r="B11" i="34"/>
  <c r="B12" i="34"/>
  <c r="B13" i="34"/>
  <c r="B72" i="42"/>
  <c r="B60" i="42"/>
  <c r="B66" i="42"/>
  <c r="B34" i="7"/>
  <c r="B39" i="7"/>
  <c r="B18" i="31"/>
  <c r="D33" i="11"/>
  <c r="D36" i="11" s="1"/>
  <c r="D35" i="11"/>
  <c r="B22" i="41"/>
  <c r="D20" i="7"/>
  <c r="D21" i="7"/>
  <c r="C17" i="21"/>
  <c r="C20" i="21"/>
  <c r="C22" i="21"/>
  <c r="C21" i="21"/>
  <c r="C18" i="21"/>
  <c r="C19" i="21"/>
  <c r="B18" i="9"/>
  <c r="B19" i="9" s="1"/>
  <c r="D18" i="9"/>
  <c r="D19" i="9" s="1"/>
  <c r="B33" i="42"/>
  <c r="B30" i="42"/>
  <c r="B39" i="42"/>
  <c r="B35" i="42"/>
  <c r="B36" i="42"/>
  <c r="B31" i="42"/>
  <c r="B38" i="42"/>
  <c r="B34" i="42"/>
  <c r="B37" i="42"/>
  <c r="B26" i="42"/>
  <c r="B29" i="42"/>
  <c r="B27" i="42"/>
  <c r="B28" i="42"/>
  <c r="B32" i="42"/>
  <c r="B8" i="18"/>
  <c r="B9" i="18" s="1"/>
  <c r="B12" i="18" s="1"/>
  <c r="B23" i="18"/>
  <c r="B24" i="18" s="1"/>
  <c r="B27" i="18" s="1"/>
  <c r="C5" i="37"/>
  <c r="B40" i="37"/>
  <c r="B5" i="37"/>
  <c r="B15" i="37" s="1"/>
  <c r="B6" i="25"/>
  <c r="B8" i="25"/>
  <c r="B33" i="25" s="1"/>
  <c r="B36" i="33"/>
  <c r="C31" i="41"/>
  <c r="C23" i="41"/>
  <c r="C30" i="41"/>
  <c r="C27" i="41"/>
  <c r="C24" i="41"/>
  <c r="C26" i="41"/>
  <c r="C28" i="41"/>
  <c r="B18" i="32"/>
  <c r="D34" i="12"/>
  <c r="D39" i="12"/>
  <c r="D42" i="12"/>
  <c r="D46" i="12"/>
  <c r="D24" i="12"/>
  <c r="D30" i="12"/>
  <c r="D44" i="12"/>
  <c r="D45" i="12"/>
  <c r="D26" i="12"/>
  <c r="D28" i="12"/>
  <c r="D48" i="12"/>
  <c r="D49" i="12"/>
  <c r="D22" i="12"/>
  <c r="D43" i="12"/>
  <c r="D47" i="12"/>
  <c r="C14" i="38"/>
  <c r="C16" i="38"/>
  <c r="B30" i="38"/>
  <c r="B35" i="38"/>
  <c r="B34" i="38"/>
  <c r="B32" i="38"/>
  <c r="B21" i="38"/>
  <c r="B31" i="38"/>
  <c r="B19" i="38"/>
  <c r="B20" i="38" s="1"/>
  <c r="B36" i="38"/>
  <c r="B22" i="38"/>
  <c r="B33" i="38"/>
  <c r="B23" i="38"/>
  <c r="B28" i="38" s="1"/>
  <c r="B20" i="26"/>
  <c r="B26" i="26" s="1"/>
  <c r="C20" i="26"/>
  <c r="C26" i="26"/>
  <c r="C58" i="17"/>
  <c r="B58" i="17"/>
  <c r="B35" i="11"/>
  <c r="B36" i="11"/>
  <c r="B20" i="31"/>
  <c r="B38" i="31" s="1"/>
  <c r="D39" i="11"/>
  <c r="D56" i="11"/>
  <c r="D58" i="11"/>
  <c r="D60" i="11"/>
  <c r="D41" i="11"/>
  <c r="D37" i="11"/>
  <c r="D57" i="11"/>
  <c r="D62" i="11"/>
  <c r="D43" i="11"/>
  <c r="D59" i="11"/>
  <c r="D61" i="11"/>
  <c r="D52" i="11"/>
  <c r="D47" i="11"/>
  <c r="D55" i="11"/>
  <c r="B55" i="41"/>
  <c r="B51" i="41"/>
  <c r="B59" i="41"/>
  <c r="B23" i="41"/>
  <c r="B30" i="41"/>
  <c r="B31" i="41"/>
  <c r="B26" i="41"/>
  <c r="B25" i="41"/>
  <c r="B24" i="41"/>
  <c r="B27" i="41"/>
  <c r="B28" i="41"/>
  <c r="B29" i="41"/>
  <c r="D39" i="7"/>
  <c r="D34" i="7"/>
  <c r="D42" i="7"/>
  <c r="D24" i="7"/>
  <c r="D44" i="7"/>
  <c r="D46" i="7"/>
  <c r="D45" i="7"/>
  <c r="D48" i="7"/>
  <c r="D22" i="7"/>
  <c r="D43" i="7"/>
  <c r="D47" i="7"/>
  <c r="D26" i="7"/>
  <c r="D28" i="7"/>
  <c r="D30" i="7"/>
  <c r="B22" i="9"/>
  <c r="D22" i="9"/>
  <c r="B50" i="37"/>
  <c r="B52" i="37"/>
  <c r="B46" i="37"/>
  <c r="B56" i="37"/>
  <c r="B58" i="37"/>
  <c r="B44" i="37"/>
  <c r="B54" i="37"/>
  <c r="B48" i="37"/>
  <c r="B25" i="37"/>
  <c r="B26" i="37" s="1"/>
  <c r="B32" i="37"/>
  <c r="B27" i="37"/>
  <c r="B33" i="37"/>
  <c r="B30" i="37"/>
  <c r="B18" i="37"/>
  <c r="B19" i="37" s="1"/>
  <c r="B31" i="37"/>
  <c r="B29" i="37"/>
  <c r="B28" i="37"/>
  <c r="B20" i="37"/>
  <c r="B62" i="25"/>
  <c r="B50" i="25"/>
  <c r="B77" i="25"/>
  <c r="B74" i="25"/>
  <c r="B88" i="25"/>
  <c r="B37" i="25"/>
  <c r="B69" i="25"/>
  <c r="B73" i="25"/>
  <c r="B83" i="25"/>
  <c r="B59" i="25"/>
  <c r="B35" i="25"/>
  <c r="B39" i="25"/>
  <c r="B75" i="25"/>
  <c r="B86" i="25"/>
  <c r="B41" i="25"/>
  <c r="B79" i="25"/>
  <c r="B47" i="25"/>
  <c r="B84" i="25"/>
  <c r="B53" i="25"/>
  <c r="B34" i="25"/>
  <c r="B40" i="25"/>
  <c r="B65" i="25"/>
  <c r="B85" i="25"/>
  <c r="B44" i="25"/>
  <c r="B36" i="25"/>
  <c r="B81" i="25"/>
  <c r="B38" i="25"/>
  <c r="B56" i="25"/>
  <c r="B21" i="32"/>
  <c r="B39" i="32" s="1"/>
  <c r="C22" i="38"/>
  <c r="C23" i="38"/>
  <c r="C28" i="38" s="1"/>
  <c r="C29" i="38" s="1"/>
  <c r="C36" i="38"/>
  <c r="C21" i="38"/>
  <c r="C31" i="38"/>
  <c r="C19" i="38"/>
  <c r="C35" i="38"/>
  <c r="C30" i="38"/>
  <c r="C33" i="38"/>
  <c r="C34" i="38"/>
  <c r="C32" i="38"/>
  <c r="B27" i="26"/>
  <c r="B34" i="26"/>
  <c r="B29" i="26"/>
  <c r="B31" i="26"/>
  <c r="B35" i="26"/>
  <c r="B32" i="26"/>
  <c r="B36" i="26"/>
  <c r="C27" i="26"/>
  <c r="C29" i="26"/>
  <c r="C33" i="26"/>
  <c r="C30" i="26"/>
  <c r="C34" i="26"/>
  <c r="C31" i="26"/>
  <c r="C35" i="26"/>
  <c r="C32" i="26"/>
  <c r="C36" i="26"/>
  <c r="B47" i="11"/>
  <c r="B52" i="11"/>
  <c r="B55" i="11"/>
  <c r="B43" i="11"/>
  <c r="B61" i="11"/>
  <c r="B37" i="11"/>
  <c r="B57" i="11"/>
  <c r="B39" i="11"/>
  <c r="B62" i="11"/>
  <c r="B63" i="11"/>
  <c r="B56" i="11"/>
  <c r="B41" i="11"/>
  <c r="B60" i="11"/>
  <c r="B59" i="11"/>
  <c r="B58" i="11"/>
  <c r="B56" i="41"/>
  <c r="B57" i="41"/>
  <c r="B58" i="41" s="1"/>
  <c r="B52" i="41"/>
  <c r="B53" i="41"/>
  <c r="B54" i="41"/>
  <c r="B60" i="41"/>
  <c r="B61" i="41"/>
  <c r="B62" i="41" s="1"/>
  <c r="B30" i="26"/>
  <c r="B33" i="26"/>
  <c r="B23" i="32" l="1"/>
  <c r="B20" i="33"/>
  <c r="B22" i="31"/>
  <c r="C32" i="30"/>
  <c r="B32" i="30"/>
  <c r="B64" i="11"/>
  <c r="B29" i="38"/>
  <c r="C49" i="30"/>
  <c r="B18" i="39"/>
  <c r="B21" i="39" s="1"/>
  <c r="B51" i="30"/>
  <c r="B52" i="30" s="1"/>
  <c r="B51" i="12"/>
  <c r="D24" i="9"/>
  <c r="D25" i="9" s="1"/>
  <c r="B31" i="18"/>
  <c r="B33" i="20"/>
  <c r="B30" i="27"/>
  <c r="B31" i="27" s="1"/>
  <c r="B38" i="27" s="1"/>
  <c r="C15" i="40"/>
  <c r="C18" i="40" s="1"/>
  <c r="B15" i="40"/>
  <c r="B18" i="40" s="1"/>
  <c r="B39" i="31"/>
  <c r="B50" i="7"/>
  <c r="B61" i="17"/>
  <c r="B69" i="17" s="1"/>
  <c r="C17" i="17"/>
  <c r="C25" i="17" s="1"/>
  <c r="B21" i="28"/>
  <c r="B24" i="9"/>
  <c r="B25" i="9" s="1"/>
  <c r="B16" i="18"/>
  <c r="B106" i="17"/>
  <c r="B114" i="17" s="1"/>
  <c r="B30" i="22"/>
  <c r="B17" i="17"/>
  <c r="B25" i="17" s="1"/>
  <c r="B59" i="42"/>
  <c r="C14" i="37"/>
  <c r="C15" i="37" s="1"/>
  <c r="C61" i="17"/>
  <c r="C69" i="17" s="1"/>
  <c r="B14" i="29"/>
  <c r="C30" i="27"/>
  <c r="C31" i="27" s="1"/>
  <c r="C38" i="27" s="1"/>
  <c r="C18" i="39"/>
  <c r="C21" i="39" s="1"/>
  <c r="C99" i="17"/>
  <c r="C100" i="17" s="1"/>
  <c r="C20" i="38"/>
  <c r="B37" i="33"/>
  <c r="B38" i="33" s="1"/>
  <c r="B39" i="33" s="1"/>
  <c r="B40" i="32"/>
  <c r="C21" i="28"/>
  <c r="C24" i="28" s="1"/>
  <c r="C36" i="28" s="1"/>
  <c r="C43" i="28" s="1"/>
  <c r="C44" i="28" s="1"/>
  <c r="B22" i="39"/>
  <c r="B28" i="39"/>
  <c r="B27" i="39"/>
  <c r="B25" i="39"/>
  <c r="B24" i="39"/>
  <c r="B23" i="39"/>
  <c r="B26" i="39"/>
  <c r="D32" i="9"/>
  <c r="D35" i="9"/>
  <c r="D34" i="9"/>
  <c r="B46" i="27"/>
  <c r="B47" i="27"/>
  <c r="B39" i="27"/>
  <c r="B70" i="17"/>
  <c r="B76" i="17"/>
  <c r="B81" i="17"/>
  <c r="B79" i="17"/>
  <c r="B74" i="17"/>
  <c r="B71" i="17"/>
  <c r="B82" i="17"/>
  <c r="B75" i="17"/>
  <c r="B72" i="17"/>
  <c r="B83" i="17"/>
  <c r="B73" i="17"/>
  <c r="B78" i="17"/>
  <c r="B80" i="17"/>
  <c r="C35" i="17"/>
  <c r="C27" i="17"/>
  <c r="C28" i="17"/>
  <c r="C29" i="17"/>
  <c r="C26" i="17"/>
  <c r="C37" i="17"/>
  <c r="C38" i="17"/>
  <c r="C30" i="17"/>
  <c r="C31" i="17"/>
  <c r="C32" i="17"/>
  <c r="C39" i="17"/>
  <c r="C34" i="17"/>
  <c r="C36" i="17"/>
  <c r="B35" i="9"/>
  <c r="B34" i="9"/>
  <c r="B118" i="17"/>
  <c r="B116" i="17"/>
  <c r="B124" i="17"/>
  <c r="B120" i="17"/>
  <c r="B121" i="17"/>
  <c r="B127" i="17"/>
  <c r="B119" i="17"/>
  <c r="B125" i="17"/>
  <c r="B123" i="17"/>
  <c r="B128" i="17"/>
  <c r="B117" i="17"/>
  <c r="B126" i="17"/>
  <c r="B115" i="17"/>
  <c r="B30" i="17"/>
  <c r="B36" i="17"/>
  <c r="B28" i="17"/>
  <c r="B26" i="17"/>
  <c r="B38" i="17"/>
  <c r="B39" i="17"/>
  <c r="B27" i="17"/>
  <c r="B32" i="17"/>
  <c r="B29" i="17"/>
  <c r="B37" i="17"/>
  <c r="B35" i="17"/>
  <c r="B34" i="17"/>
  <c r="B31" i="17"/>
  <c r="B67" i="42"/>
  <c r="B68" i="42" s="1"/>
  <c r="B73" i="42"/>
  <c r="B74" i="42" s="1"/>
  <c r="B61" i="42"/>
  <c r="B62" i="42" s="1"/>
  <c r="C25" i="37"/>
  <c r="C26" i="37" s="1"/>
  <c r="C32" i="37"/>
  <c r="C27" i="37"/>
  <c r="C28" i="37"/>
  <c r="C20" i="37"/>
  <c r="C29" i="37"/>
  <c r="C33" i="37"/>
  <c r="C18" i="37"/>
  <c r="C31" i="37"/>
  <c r="C30" i="37"/>
  <c r="C83" i="17"/>
  <c r="C84" i="17" s="1"/>
  <c r="C71" i="17"/>
  <c r="C74" i="17"/>
  <c r="C70" i="17"/>
  <c r="C72" i="17"/>
  <c r="C76" i="17"/>
  <c r="C82" i="17"/>
  <c r="C78" i="17"/>
  <c r="C79" i="17"/>
  <c r="C75" i="17"/>
  <c r="C80" i="17"/>
  <c r="C81" i="17"/>
  <c r="C73" i="17"/>
  <c r="B18" i="29"/>
  <c r="C46" i="27"/>
  <c r="C47" i="27"/>
  <c r="C39" i="27"/>
  <c r="C22" i="39"/>
  <c r="C26" i="39"/>
  <c r="C25" i="39"/>
  <c r="C23" i="39"/>
  <c r="C28" i="39"/>
  <c r="C27" i="39"/>
  <c r="C24" i="39"/>
  <c r="C103" i="17"/>
  <c r="C106" i="17"/>
  <c r="C114" i="17" s="1"/>
  <c r="D42" i="9"/>
  <c r="D59" i="9"/>
  <c r="D55" i="9"/>
  <c r="D40" i="9"/>
  <c r="D56" i="9"/>
  <c r="D57" i="9"/>
  <c r="D58" i="9"/>
  <c r="D60" i="9"/>
  <c r="D36" i="9"/>
  <c r="D38" i="9"/>
  <c r="D54" i="9"/>
  <c r="D51" i="9"/>
  <c r="D46" i="9"/>
  <c r="B57" i="9"/>
  <c r="B42" i="9"/>
  <c r="B60" i="9"/>
  <c r="B59" i="9"/>
  <c r="B55" i="9"/>
  <c r="B36" i="9"/>
  <c r="B61" i="9"/>
  <c r="B62" i="9"/>
  <c r="B56" i="9"/>
  <c r="B58" i="9"/>
  <c r="B38" i="9"/>
  <c r="B40" i="9"/>
  <c r="B54" i="9"/>
  <c r="B46" i="9"/>
  <c r="B51" i="9"/>
  <c r="B71" i="42"/>
  <c r="B70" i="42"/>
  <c r="B69" i="42"/>
  <c r="B77" i="42"/>
  <c r="B76" i="42"/>
  <c r="B75" i="42"/>
  <c r="B65" i="42"/>
  <c r="B64" i="42"/>
  <c r="B63" i="42"/>
  <c r="B20" i="29"/>
  <c r="B38" i="29" s="1"/>
  <c r="B39" i="29" s="1"/>
  <c r="B40" i="29" s="1"/>
  <c r="C115" i="17"/>
  <c r="C128" i="17"/>
  <c r="C118" i="17"/>
  <c r="C121" i="17"/>
  <c r="C120" i="17"/>
  <c r="C123" i="17"/>
  <c r="C117" i="17"/>
  <c r="C124" i="17"/>
  <c r="C116" i="17"/>
  <c r="C119" i="17"/>
  <c r="C127" i="17"/>
  <c r="C126" i="17"/>
  <c r="C129" i="17"/>
  <c r="C125" i="17"/>
  <c r="B22" i="29" l="1"/>
  <c r="B129" i="17"/>
  <c r="B40" i="31"/>
  <c r="C40" i="17"/>
  <c r="C41" i="17" s="1"/>
  <c r="B20" i="40"/>
  <c r="C50" i="30"/>
  <c r="B41" i="32"/>
  <c r="B41" i="29"/>
  <c r="B42" i="29" s="1"/>
  <c r="B43" i="29" s="1"/>
  <c r="B44" i="29" s="1"/>
  <c r="B84" i="17"/>
  <c r="C20" i="40"/>
  <c r="C130" i="17"/>
  <c r="B53" i="30"/>
  <c r="B54" i="30" s="1"/>
  <c r="C41" i="27"/>
  <c r="C47" i="28"/>
  <c r="C85" i="17"/>
  <c r="C19" i="37"/>
  <c r="B40" i="17"/>
  <c r="B24" i="28"/>
  <c r="B36" i="28" s="1"/>
  <c r="B41" i="31"/>
  <c r="B42" i="31"/>
  <c r="B43" i="31"/>
  <c r="B44" i="31" s="1"/>
  <c r="C51" i="30"/>
  <c r="C52" i="30"/>
  <c r="B42" i="32"/>
  <c r="B43" i="32"/>
  <c r="B44" i="32" s="1"/>
  <c r="B45" i="32" s="1"/>
  <c r="B45" i="29"/>
  <c r="B46" i="29"/>
  <c r="B47" i="29"/>
  <c r="B48" i="29" s="1"/>
  <c r="B55" i="30"/>
  <c r="B56" i="30"/>
  <c r="B57" i="30" s="1"/>
  <c r="B58" i="30" s="1"/>
  <c r="C42" i="27"/>
  <c r="C44" i="27"/>
  <c r="C45" i="27"/>
  <c r="C43" i="27"/>
  <c r="C55" i="28"/>
  <c r="C48" i="28"/>
  <c r="C56" i="28"/>
  <c r="B45" i="31"/>
  <c r="B46" i="31"/>
  <c r="B46" i="32"/>
  <c r="B47" i="32"/>
  <c r="B49" i="29"/>
  <c r="B50" i="29"/>
  <c r="B51" i="29" s="1"/>
  <c r="B59" i="30"/>
  <c r="B60" i="30"/>
  <c r="B61" i="30" s="1"/>
  <c r="B43" i="28"/>
  <c r="B44" i="28" s="1"/>
  <c r="B47" i="28" s="1"/>
  <c r="B41" i="17"/>
  <c r="B41" i="27"/>
  <c r="C50" i="28"/>
  <c r="C23" i="40"/>
  <c r="B48" i="32"/>
  <c r="B49" i="32" s="1"/>
  <c r="B85" i="17"/>
  <c r="B47" i="31"/>
  <c r="B48" i="31" s="1"/>
  <c r="B23" i="40"/>
  <c r="B130" i="17"/>
  <c r="C53" i="30"/>
  <c r="C54" i="30" s="1"/>
  <c r="B55" i="28"/>
  <c r="B48" i="28"/>
  <c r="B56" i="28"/>
  <c r="B42" i="27"/>
  <c r="B44" i="27"/>
  <c r="B43" i="27"/>
  <c r="B45" i="27"/>
  <c r="C51" i="28"/>
  <c r="C54" i="28"/>
  <c r="C52" i="28"/>
  <c r="C53" i="28"/>
  <c r="C28" i="40"/>
  <c r="C30" i="40"/>
  <c r="C25" i="40"/>
  <c r="C27" i="40"/>
  <c r="C29" i="40"/>
  <c r="C24" i="40"/>
  <c r="C26" i="40"/>
  <c r="B50" i="32"/>
  <c r="B51" i="32"/>
  <c r="B49" i="31"/>
  <c r="B50" i="31"/>
  <c r="B25" i="40"/>
  <c r="B24" i="40"/>
  <c r="B28" i="40"/>
  <c r="B29" i="40"/>
  <c r="B30" i="40"/>
  <c r="B26" i="40"/>
  <c r="B27" i="40"/>
  <c r="C55" i="30"/>
  <c r="C56" i="30"/>
  <c r="C57" i="30"/>
  <c r="C58" i="30" s="1"/>
  <c r="C59" i="30"/>
  <c r="C60" i="30"/>
  <c r="C61" i="30"/>
  <c r="B52" i="32"/>
  <c r="B50" i="28"/>
  <c r="B51" i="31"/>
  <c r="B53" i="28"/>
  <c r="B54" i="28"/>
  <c r="B52" i="28"/>
  <c r="B51" i="28"/>
</calcChain>
</file>

<file path=xl/sharedStrings.xml><?xml version="1.0" encoding="utf-8"?>
<sst xmlns="http://schemas.openxmlformats.org/spreadsheetml/2006/main" count="1763" uniqueCount="472">
  <si>
    <t>Tabs</t>
  </si>
  <si>
    <t>Pricing Engine tested</t>
  </si>
  <si>
    <t>ref_date</t>
  </si>
  <si>
    <t>evaluation_date (qlSettingsSetEvaluationDate)</t>
  </si>
  <si>
    <t>Seasonality</t>
  </si>
  <si>
    <t>Region</t>
  </si>
  <si>
    <t>CPICouponPricer</t>
  </si>
  <si>
    <t>BlackYoYInflationCouponPricer</t>
  </si>
  <si>
    <t>UnitDisplacedBlackYoYInflationCouponPricer</t>
  </si>
  <si>
    <t>BachelierYoYInflationCouponPricer</t>
  </si>
  <si>
    <t>YoYInflationBlackCapFloorEngine</t>
  </si>
  <si>
    <t>YoYInflationUnitDisplacedBlackCapFloorEngine</t>
  </si>
  <si>
    <t>frequency</t>
  </si>
  <si>
    <t>Quarterly</t>
  </si>
  <si>
    <t>date</t>
  </si>
  <si>
    <t>zero_inflation_term_structure</t>
  </si>
  <si>
    <t>Annual</t>
  </si>
  <si>
    <t>3M</t>
  </si>
  <si>
    <t>dates</t>
  </si>
  <si>
    <t>rates</t>
  </si>
  <si>
    <t>qlZeroInflationCurve</t>
  </si>
  <si>
    <t>qlIndexAddFixing</t>
  </si>
  <si>
    <t>value</t>
  </si>
  <si>
    <t>qlYoYInflationCurve</t>
  </si>
  <si>
    <t>yoy_inflation_term_structure</t>
  </si>
  <si>
    <t>YoYInflationIndex</t>
  </si>
  <si>
    <t>ZeroInflationCurve</t>
  </si>
  <si>
    <t>ZeroInflationIndex</t>
  </si>
  <si>
    <t>YoYInflationCurve</t>
  </si>
  <si>
    <t>YoYPieceWiseInflationCurve</t>
  </si>
  <si>
    <t>reference_date</t>
  </si>
  <si>
    <t>day_counter</t>
  </si>
  <si>
    <t>seasonality</t>
  </si>
  <si>
    <t>qlZeroInflationCurveAsIts</t>
  </si>
  <si>
    <t>qlZeroInflationCurveDates</t>
  </si>
  <si>
    <t>qlZeroInflationCurveTimes</t>
  </si>
  <si>
    <t>qlZeroInflationCurveData</t>
  </si>
  <si>
    <t>qlZeroInflationCurveRates</t>
  </si>
  <si>
    <t>qlZeroInflationCurveNodes</t>
  </si>
  <si>
    <t>qlInflationTermStructureObservationLag</t>
  </si>
  <si>
    <t>qlInflationTermStructureFrequency</t>
  </si>
  <si>
    <t>qlInflationTermStructureBaseRate</t>
  </si>
  <si>
    <t>qlInflationTermStructureBaseDate</t>
  </si>
  <si>
    <t>qlInflationTermStructureHasExplicitBaseDate</t>
  </si>
  <si>
    <t>qlInflationTermStructureSetSeasonality</t>
  </si>
  <si>
    <t>qlInflationTermStructureSeasonality</t>
  </si>
  <si>
    <t>qlInflationTermStructureHasSeasonality</t>
  </si>
  <si>
    <t>qlZeroInflationTermStructureZeroRate</t>
  </si>
  <si>
    <t>qlZeroInflationTermStructureZeroRate2</t>
  </si>
  <si>
    <t>qlZeroInflationTermStructureZeroRate3</t>
  </si>
  <si>
    <t>base_date</t>
  </si>
  <si>
    <t>factors</t>
  </si>
  <si>
    <t>actual365fixed</t>
  </si>
  <si>
    <t>extrapolate</t>
  </si>
  <si>
    <t>observation_lag</t>
  </si>
  <si>
    <t>force_linear_interpolation</t>
  </si>
  <si>
    <t>2M</t>
  </si>
  <si>
    <t>time</t>
  </si>
  <si>
    <t>qlYoYInflationCurveAsIts</t>
  </si>
  <si>
    <t>qlYoYInflationCurveDates</t>
  </si>
  <si>
    <t>qlYoYInflationCurveTimes</t>
  </si>
  <si>
    <t>qlYoYInflationCurveData</t>
  </si>
  <si>
    <t>qlYoYInflationCurveRates</t>
  </si>
  <si>
    <t>qlYoYInflationCurveNodes</t>
  </si>
  <si>
    <t>qlYoYInflationTermStructureYoYRate</t>
  </si>
  <si>
    <t>qlYoYInflationTermStructureYoYRate2</t>
  </si>
  <si>
    <t>qlYoYInflationTermStructureYoYRate3</t>
  </si>
  <si>
    <t>ZeroPiecewiseInflationCurve</t>
  </si>
  <si>
    <t>instruments</t>
  </si>
  <si>
    <t>accuracy</t>
  </si>
  <si>
    <t>qlPiecewiseZeroInflation</t>
  </si>
  <si>
    <t>qlPiecewiseZeroInflationAsIts</t>
  </si>
  <si>
    <t>quote</t>
  </si>
  <si>
    <t>lag</t>
  </si>
  <si>
    <t>maturity</t>
  </si>
  <si>
    <t>calendar</t>
  </si>
  <si>
    <t>bdc</t>
  </si>
  <si>
    <t>observation_interpolation</t>
  </si>
  <si>
    <t>TARGET</t>
  </si>
  <si>
    <t>ModifiedFollowing</t>
  </si>
  <si>
    <t>AsIndex</t>
  </si>
  <si>
    <t>annual</t>
  </si>
  <si>
    <t>qlPiecewiseZeroInflationCurveDates</t>
  </si>
  <si>
    <t>nominal_its</t>
  </si>
  <si>
    <t xml:space="preserve">index </t>
  </si>
  <si>
    <t>base_yoy_rate</t>
  </si>
  <si>
    <t>qlPiecewiseYoYInflation</t>
  </si>
  <si>
    <t>qlPiecewiseYoYInflationAsIts</t>
  </si>
  <si>
    <t>ZeroCouponInflationSwapHelper (BootstrappHelper)</t>
  </si>
  <si>
    <t>index (qlAUCPI -&gt; annual)</t>
  </si>
  <si>
    <t>index</t>
  </si>
  <si>
    <t>payment_date</t>
  </si>
  <si>
    <t>nominal</t>
  </si>
  <si>
    <t>start_date</t>
  </si>
  <si>
    <t>end_date</t>
  </si>
  <si>
    <t>fixing_days</t>
  </si>
  <si>
    <t>interpolation</t>
  </si>
  <si>
    <t>spread</t>
  </si>
  <si>
    <t>ref_period_start</t>
  </si>
  <si>
    <t>ref_period_end</t>
  </si>
  <si>
    <t>qlInflationCouponFixingDays</t>
  </si>
  <si>
    <t>qlInflationCouponIndex</t>
  </si>
  <si>
    <t>qlInflationCouponIndexFixing</t>
  </si>
  <si>
    <t>qlInflationCouponObservationLag</t>
  </si>
  <si>
    <t>qlInflationCouponFixingDate</t>
  </si>
  <si>
    <t>settlement_days</t>
  </si>
  <si>
    <t>index_is_interpolated</t>
  </si>
  <si>
    <t>volatilities</t>
  </si>
  <si>
    <t>min_strike</t>
  </si>
  <si>
    <t>max_strike</t>
  </si>
  <si>
    <t>qlInterpolatedYoYInflationOptionletVolatilityCurve</t>
  </si>
  <si>
    <t>YoYInflationCoupon</t>
  </si>
  <si>
    <t>x</t>
  </si>
  <si>
    <t>CappedFlooredYoYInflationCoupon</t>
  </si>
  <si>
    <t>YoYInflationBachelierCapFloorEngine</t>
  </si>
  <si>
    <t>cap</t>
  </si>
  <si>
    <t>floor</t>
  </si>
  <si>
    <t>CPIUtilities</t>
  </si>
  <si>
    <t>CPICoupon</t>
  </si>
  <si>
    <t>base_cpi</t>
  </si>
  <si>
    <t>fixed_rate</t>
  </si>
  <si>
    <t>ex_coupon_date</t>
  </si>
  <si>
    <t>qlCPICoupon</t>
  </si>
  <si>
    <t>qlCPICouponFixedRate</t>
  </si>
  <si>
    <t>qlCPICouponAdjustedIndexGrowth</t>
  </si>
  <si>
    <t>qlCPICouponIndexFixing</t>
  </si>
  <si>
    <t>qlCPICouponIndexRatio</t>
  </si>
  <si>
    <t>qlCPICouponBaseCPI</t>
  </si>
  <si>
    <t>qlCPICouponBaseDate</t>
  </si>
  <si>
    <t>qlCPICouponObservationInterpolation</t>
  </si>
  <si>
    <t>qlCPICouponCPIIndex</t>
  </si>
  <si>
    <t xml:space="preserve">date </t>
  </si>
  <si>
    <t>qlCPICouponPricer</t>
  </si>
  <si>
    <t>qlCPICouponSetPricer</t>
  </si>
  <si>
    <t>qlCPICoupon2</t>
  </si>
  <si>
    <t>index (qlEUHICP -&gt; 3M availibility lag)</t>
  </si>
  <si>
    <t>interpolation_type</t>
  </si>
  <si>
    <t>qlCPILaggedFixing</t>
  </si>
  <si>
    <t>qlCPILaggedYoYRate</t>
  </si>
  <si>
    <t>CPIInflationCashFlow</t>
  </si>
  <si>
    <t>notional</t>
  </si>
  <si>
    <t>base_fixing</t>
  </si>
  <si>
    <t>observation_date</t>
  </si>
  <si>
    <t>growth_only</t>
  </si>
  <si>
    <t>qlCPICashFlow</t>
  </si>
  <si>
    <t>qlCPICashFlowInterpolation</t>
  </si>
  <si>
    <t>qlCPICashFlowFrequency</t>
  </si>
  <si>
    <t>nominals</t>
  </si>
  <si>
    <t>schedule</t>
  </si>
  <si>
    <t>payment_day_counter</t>
  </si>
  <si>
    <t>payment_convention</t>
  </si>
  <si>
    <t>fixed_rates</t>
  </si>
  <si>
    <t>caps</t>
  </si>
  <si>
    <t>floors</t>
  </si>
  <si>
    <t>ex_coupon_period</t>
  </si>
  <si>
    <t>ex_coupon_calendar</t>
  </si>
  <si>
    <t>ex_coupon_convention</t>
  </si>
  <si>
    <t>ex_coupon_end_of_month</t>
  </si>
  <si>
    <t>payment_calendar</t>
  </si>
  <si>
    <t>effective_date</t>
  </si>
  <si>
    <t>termination_date</t>
  </si>
  <si>
    <t>tenor</t>
  </si>
  <si>
    <t>convention</t>
  </si>
  <si>
    <t>termination_date_convention</t>
  </si>
  <si>
    <t>date_generation_rule</t>
  </si>
  <si>
    <t>end_of_month</t>
  </si>
  <si>
    <t>Forward</t>
  </si>
  <si>
    <t>1Y</t>
  </si>
  <si>
    <t>qlCPILeg</t>
  </si>
  <si>
    <t>CPILeg</t>
  </si>
  <si>
    <t>ZeroInflationCashFlow</t>
  </si>
  <si>
    <t>Following</t>
  </si>
  <si>
    <t>1M</t>
  </si>
  <si>
    <t>Linear</t>
  </si>
  <si>
    <t>qlZeroInflationCashFlow</t>
  </si>
  <si>
    <t>qlZeroInflationCashFlowNotional</t>
  </si>
  <si>
    <t>qlZeroInflationCashFlowBaseDate</t>
  </si>
  <si>
    <t>qlZeroInflationCashFlowFixingDate</t>
  </si>
  <si>
    <t>qlZeroInflationCashFlowGrowthOnly</t>
  </si>
  <si>
    <t>qlZeroInflationCashFlowObservationInterpolation</t>
  </si>
  <si>
    <t>qlZeroInflationCashFlowZeroInflationIndex</t>
  </si>
  <si>
    <t>YoYInflationLeg</t>
  </si>
  <si>
    <t>notionals</t>
  </si>
  <si>
    <t>gearings</t>
  </si>
  <si>
    <t>spreads</t>
  </si>
  <si>
    <t>qlYoYInflationLeg</t>
  </si>
  <si>
    <t>qlCPICoupon3</t>
  </si>
  <si>
    <t>InflationUtilities</t>
  </si>
  <si>
    <t>InterpolatedYoYOptionletVolatilityCurve</t>
  </si>
  <si>
    <t>yoy_lag</t>
  </si>
  <si>
    <t>yoy_index</t>
  </si>
  <si>
    <t>nominal_term_structure</t>
  </si>
  <si>
    <t>business_day_convention</t>
  </si>
  <si>
    <t>cap_strikes</t>
  </si>
  <si>
    <t>floor_strikes</t>
  </si>
  <si>
    <t>maturities</t>
  </si>
  <si>
    <t>cap_prices</t>
  </si>
  <si>
    <t>floor_prices</t>
  </si>
  <si>
    <t>qlYoYInflationCapFloorTermPriceSurface</t>
  </si>
  <si>
    <t>2Y</t>
  </si>
  <si>
    <t>3Y</t>
  </si>
  <si>
    <t>5Y</t>
  </si>
  <si>
    <t>qlYoYCapFloorTermPriceSurfaceAtmYoYSwapTimeRates</t>
  </si>
  <si>
    <t>qlYoYCapFloorTermPriceSurfaceAtmYoYSwapDateRates</t>
  </si>
  <si>
    <t>qlYoYCapFloorTermPriceSurfaceYoYTS</t>
  </si>
  <si>
    <t>qlYoYCapFloorTermPriceSurfaceYoYIndex</t>
  </si>
  <si>
    <t>qlYoYCapFloorTermPriceSurfaceBusinessDayConvention</t>
  </si>
  <si>
    <t>qlYoYCapFloorTermPriceSurfaceObservationLag</t>
  </si>
  <si>
    <t>qlYoYCapFloorTermPriceSurfaceFrequency</t>
  </si>
  <si>
    <t>qlYoYCapFloorTermPriceSurfaceFixingDays</t>
  </si>
  <si>
    <t>qlYoYCapFloorTermPriceSurfaceCapPrice</t>
  </si>
  <si>
    <t>strike</t>
  </si>
  <si>
    <t>period</t>
  </si>
  <si>
    <t>qlYoYCapFloorTermPriceSurfaceCapPrice2</t>
  </si>
  <si>
    <t>qlYoYCapFloorTermPriceSurfaceFloorPrice</t>
  </si>
  <si>
    <t>qlYoYCapFloorTermPriceSurfaceFloorPrice2</t>
  </si>
  <si>
    <t>qlYoYCapFloorTermPriceSurfacePrice</t>
  </si>
  <si>
    <t>qlYoYCapFloorTermPriceSurfacePrice2</t>
  </si>
  <si>
    <t>qlYoYCapFloorTermPriceSurfaceAtmYoYSwapRate</t>
  </si>
  <si>
    <t>qlYoYCapFloorTermPriceSurfaceAtmYoYSwapRate2</t>
  </si>
  <si>
    <t>qlYoYCapFloorTermPriceSurfaceAtmYoYRate</t>
  </si>
  <si>
    <t>qlYoYCapFloorTermPriceSurfaceAtmYoYRate2</t>
  </si>
  <si>
    <t>qlYoYCapFloorTermPriceSurfaceBaseDate</t>
  </si>
  <si>
    <t>qlYoYCapFloorTermPriceSurfaceStrikes</t>
  </si>
  <si>
    <t>qlYoYCapFloorTermPriceSurfaceCapStrikes</t>
  </si>
  <si>
    <t>qlYoYCapFloorTermPriceSurfaceFloorStrikes</t>
  </si>
  <si>
    <t>qlYoYCapFloorTermPriceSurfaceMaturities</t>
  </si>
  <si>
    <t>qlYoYCapFloorTermPriceSurfaceMinStrike</t>
  </si>
  <si>
    <t>qlYoYCapFloorTermPriceSurfaceMaxStrike</t>
  </si>
  <si>
    <t>qlYoYCapFloorTermPriceSurfaceMinMaturity</t>
  </si>
  <si>
    <t>qlYoYCapFloorTermPriceSurfaceMaxMaturity</t>
  </si>
  <si>
    <t>qlYoYCapFloorTermPriceSurfaceYoyOptionDateFromTenor</t>
  </si>
  <si>
    <t>YoYInflationCapFloorTermPriceSurface</t>
  </si>
  <si>
    <t>YoYInflationSwap</t>
  </si>
  <si>
    <t>CPISwap</t>
  </si>
  <si>
    <t>ZeroCouponInflationSwap</t>
  </si>
  <si>
    <t>swap_type</t>
  </si>
  <si>
    <t>start</t>
  </si>
  <si>
    <t>adjust_inf_obs_dates</t>
  </si>
  <si>
    <t>inf_calendar</t>
  </si>
  <si>
    <t>inf_convention</t>
  </si>
  <si>
    <t>Payer</t>
  </si>
  <si>
    <t>qlZeroCouponInflationSwap</t>
  </si>
  <si>
    <t>qlZeroCouponInflationSwapFairRate</t>
  </si>
  <si>
    <t>qlZeroCouponInflationSwapFixedLeg</t>
  </si>
  <si>
    <t>qlZeroCouponInflationSwapFixedLegBPS</t>
  </si>
  <si>
    <t>qlZeroCouponInflationSwapFixedLegNPV</t>
  </si>
  <si>
    <t>qlZeroCouponInflationSwapInflationLeg</t>
  </si>
  <si>
    <t>qlZeroCouponInflationSwapInflationLegNPV</t>
  </si>
  <si>
    <t>qlZeroCouponInflationSwapType</t>
  </si>
  <si>
    <t>engine</t>
  </si>
  <si>
    <t>setPricer</t>
  </si>
  <si>
    <t>ts</t>
  </si>
  <si>
    <t>fixed_schedule</t>
  </si>
  <si>
    <t>fixed_day_counter</t>
  </si>
  <si>
    <t>yoy_schedule</t>
  </si>
  <si>
    <t>yoy_day_counter</t>
  </si>
  <si>
    <t>PAYER</t>
  </si>
  <si>
    <t>qlYearOnYearInflationSwap</t>
  </si>
  <si>
    <t>qlYearOnYearInflationSwapFairRate</t>
  </si>
  <si>
    <t>qlYearOnYearInflationSwapFixedLegNPV</t>
  </si>
  <si>
    <t>qlYearOnYearInflationSwapYoYLegNPV</t>
  </si>
  <si>
    <t>qlYearOnYearInflationSwapFairSpread</t>
  </si>
  <si>
    <t>qlYearOnYearInflationSwapFixedLeg</t>
  </si>
  <si>
    <t>qlYearOnYearInflationSwapYoYLeg</t>
  </si>
  <si>
    <t>subtract_inflation_nominal</t>
  </si>
  <si>
    <t>float_day_count</t>
  </si>
  <si>
    <t>float_schedule</t>
  </si>
  <si>
    <t>float_roll</t>
  </si>
  <si>
    <t>float_index</t>
  </si>
  <si>
    <t>fixed_day_count</t>
  </si>
  <si>
    <t>fixed_roll</t>
  </si>
  <si>
    <t>fixed_index</t>
  </si>
  <si>
    <t>inflation_nominal</t>
  </si>
  <si>
    <t>qlCPISwap</t>
  </si>
  <si>
    <t>qlCPISwapFairRate</t>
  </si>
  <si>
    <t>qlCPISwapFloatLegNPV</t>
  </si>
  <si>
    <t>qlCPISwapFairSpread</t>
  </si>
  <si>
    <t>qlCPISwapFixedLegNPV</t>
  </si>
  <si>
    <t>qlCPISwapCPILeg</t>
  </si>
  <si>
    <t>qlCPISwapFloatLeg</t>
  </si>
  <si>
    <t>libor_ts</t>
  </si>
  <si>
    <t>YoYInflationCapFloorCollar</t>
  </si>
  <si>
    <t>capfloor_type</t>
  </si>
  <si>
    <t>yoy_leg</t>
  </si>
  <si>
    <t>strikes</t>
  </si>
  <si>
    <t>qlYoYInflationCapFloor</t>
  </si>
  <si>
    <t>qlYoYInflationCapFloorOptionletPrices</t>
  </si>
  <si>
    <t>bachelier_engine</t>
  </si>
  <si>
    <t>setPricingEngine</t>
  </si>
  <si>
    <t>black_engine</t>
  </si>
  <si>
    <t>black_intrument</t>
  </si>
  <si>
    <t>bachelier_instrument</t>
  </si>
  <si>
    <t>UnitDisplacedBlack_instrument</t>
  </si>
  <si>
    <t>YoYInflationCap</t>
  </si>
  <si>
    <t>YoYInflationFloor</t>
  </si>
  <si>
    <t>YoYInflationCollar</t>
  </si>
  <si>
    <t>leg (qlYoYInflationCoupon)</t>
  </si>
  <si>
    <t>cap_rates</t>
  </si>
  <si>
    <t>qlYoYInflationCap</t>
  </si>
  <si>
    <t>qlYoYInflationFloor</t>
  </si>
  <si>
    <t>floor_rates</t>
  </si>
  <si>
    <t>qlYoYInflationCollar</t>
  </si>
  <si>
    <t>price</t>
  </si>
  <si>
    <t>cap_floor_type</t>
  </si>
  <si>
    <t>n</t>
  </si>
  <si>
    <t>pricer</t>
  </si>
  <si>
    <t>qlYoYOptionletHelper</t>
  </si>
  <si>
    <t>YoYOptionletHelper</t>
  </si>
  <si>
    <t>YoYOptionletStripper</t>
  </si>
  <si>
    <t>KInterpolatedYoYOptionletVolatilitySurface</t>
  </si>
  <si>
    <t>YoYInflationSwapHelper (BootstrappHelper)</t>
  </si>
  <si>
    <t>qlPiecewiseYoYInflationCurveDates</t>
  </si>
  <si>
    <t>qlPiecewiseYoYInflationCurveTimes</t>
  </si>
  <si>
    <t>qlPiecewiseYoYInflationCurveData</t>
  </si>
  <si>
    <t>qlPiecewiseYoYInflationCurveNodes</t>
  </si>
  <si>
    <t>seasonality_base_date</t>
  </si>
  <si>
    <t>seasonality_factors</t>
  </si>
  <si>
    <t>qlMultiplicativePriceSeasonality</t>
  </si>
  <si>
    <t>qlMultiplicativePriceSeasonalitySeasonalityBaseDate</t>
  </si>
  <si>
    <t>qlMultiplicativePriceSeasonalityFrequency</t>
  </si>
  <si>
    <t>qlMultiplicativePriceSeasonalityFactors</t>
  </si>
  <si>
    <t>qlMultiplicativePriceSeasonalityFactor</t>
  </si>
  <si>
    <t>qlKerkhofSeasonality</t>
  </si>
  <si>
    <t>name</t>
  </si>
  <si>
    <t>TestRegion</t>
  </si>
  <si>
    <t>str</t>
  </si>
  <si>
    <t>TR</t>
  </si>
  <si>
    <t>qlCustomRegion</t>
  </si>
  <si>
    <t>qlRegionName</t>
  </si>
  <si>
    <t>qlRegionCode</t>
  </si>
  <si>
    <t>qlInflationPeriod</t>
  </si>
  <si>
    <t>day_count</t>
  </si>
  <si>
    <t>date1</t>
  </si>
  <si>
    <t>date2</t>
  </si>
  <si>
    <t>qlInflationYearFraction</t>
  </si>
  <si>
    <t>qlInflationBaseDate</t>
  </si>
  <si>
    <t>family_name</t>
  </si>
  <si>
    <t>ZeroIndex</t>
  </si>
  <si>
    <t>ZeroIndex2</t>
  </si>
  <si>
    <t>region</t>
  </si>
  <si>
    <t>revised</t>
  </si>
  <si>
    <t>availability_lag</t>
  </si>
  <si>
    <t>currency</t>
  </si>
  <si>
    <t>EUR</t>
  </si>
  <si>
    <t>qlZeroInflationIndex</t>
  </si>
  <si>
    <t>qlZeroInflationIndexLastFixingDate</t>
  </si>
  <si>
    <t>qlZeroInflationIndexZeroInflationTermStructure</t>
  </si>
  <si>
    <t>qlZeroInflationIndexClone</t>
  </si>
  <si>
    <t>qlZeroInflationIndexNeedsForecast</t>
  </si>
  <si>
    <t>qlInflationIndexFamilyName</t>
  </si>
  <si>
    <t>qlInflationIndexRegion</t>
  </si>
  <si>
    <t>qlInflationIndexRevised</t>
  </si>
  <si>
    <t>qlInflationIndexFrequency</t>
  </si>
  <si>
    <t>qlInflationIndexAvailabilityLag</t>
  </si>
  <si>
    <t>qlInflationIndexCurrency</t>
  </si>
  <si>
    <t>bool</t>
  </si>
  <si>
    <t>qlAUCPI</t>
  </si>
  <si>
    <t>qlAUCPI with TermStructure</t>
  </si>
  <si>
    <t>qlEUHICP</t>
  </si>
  <si>
    <t>qlEUHICP with TermStructure</t>
  </si>
  <si>
    <t>qlEUHICPXT</t>
  </si>
  <si>
    <t>qlEUHICPXT with TermStructure</t>
  </si>
  <si>
    <t>qlFRHICP</t>
  </si>
  <si>
    <t>qlFRHICP with TermStructure</t>
  </si>
  <si>
    <t>qlUKRPI</t>
  </si>
  <si>
    <t>qlUKRPI with TermStructure</t>
  </si>
  <si>
    <t>qlUKHICP</t>
  </si>
  <si>
    <t>qlUKHICP with TermStructure</t>
  </si>
  <si>
    <t>qlUSCPI</t>
  </si>
  <si>
    <t>qlUSCPI with TermStructure</t>
  </si>
  <si>
    <t>qlZACPI</t>
  </si>
  <si>
    <t>qlZACPI with TermStructure</t>
  </si>
  <si>
    <t>YoYIndex</t>
  </si>
  <si>
    <t>YoYIndex2</t>
  </si>
  <si>
    <t>interpolated</t>
  </si>
  <si>
    <t>qlYoYInflationIndex2</t>
  </si>
  <si>
    <t>qlYoYInflationIndexLastFixingDate</t>
  </si>
  <si>
    <t>qlYoYInflationIndexRatio</t>
  </si>
  <si>
    <t>qlYoYInflationIndexInterpolated</t>
  </si>
  <si>
    <t>qlYoYInflationIndexYoYInflationTermStructure</t>
  </si>
  <si>
    <t>qlYoYInflationIndexClone</t>
  </si>
  <si>
    <t>qlYoYInflationIndexNeedsForecast</t>
  </si>
  <si>
    <t>qlYYEUHICP</t>
  </si>
  <si>
    <t>qlYYEUHICP with TermStructure</t>
  </si>
  <si>
    <t>qlYYEUHICP2</t>
  </si>
  <si>
    <t>qlYYEUHICP2 with TermStructure</t>
  </si>
  <si>
    <t>qlYYEUHICPXT</t>
  </si>
  <si>
    <t>qlYYEUHICPXT with TermStructure</t>
  </si>
  <si>
    <t>qlYYEUHICPXT2</t>
  </si>
  <si>
    <t>qlYYEUHICPXT2 with TermStructure</t>
  </si>
  <si>
    <t>qlYYFRHICP</t>
  </si>
  <si>
    <t>qlYYFRHICP with TermStructure</t>
  </si>
  <si>
    <t>qlYYFRHICP2</t>
  </si>
  <si>
    <t>qlYYFRHICP2 with TermStructure</t>
  </si>
  <si>
    <t>qlYYUKRPI</t>
  </si>
  <si>
    <t>qlYYUKRPI with TermStructure</t>
  </si>
  <si>
    <t>qlYYUKRPI2</t>
  </si>
  <si>
    <t>qlYYUKRPI2 with TermStructure</t>
  </si>
  <si>
    <t>qlYYUSCPI</t>
  </si>
  <si>
    <t>qlYYUSCPIwith TermStructure</t>
  </si>
  <si>
    <t>qlYYUSCPI2</t>
  </si>
  <si>
    <t>qlYYUSCPI2 with TermStructure</t>
  </si>
  <si>
    <t>qlYYZACPI</t>
  </si>
  <si>
    <t>qlYYZACPI Iwith TermStructure</t>
  </si>
  <si>
    <t>qlYYZACPI2</t>
  </si>
  <si>
    <t>qlYYZACPI2 with TermStructure</t>
  </si>
  <si>
    <t>qlZeroCouponInflationSwapHelper</t>
  </si>
  <si>
    <t>qlZeroCouponInflationSwapHelperSwap</t>
  </si>
  <si>
    <t>qlBootstrapHelperQuote</t>
  </si>
  <si>
    <t>qlBootstrapHelperLatestDate</t>
  </si>
  <si>
    <t>qlBootstrapHelperEarliestDate</t>
  </si>
  <si>
    <t>qlBootstrapHelperMaturityDate</t>
  </si>
  <si>
    <t>qlBootstrapHelperLatestRelevantDate</t>
  </si>
  <si>
    <t>qlBootstrapHelperPillarDate</t>
  </si>
  <si>
    <t>pillar</t>
  </si>
  <si>
    <t>Lastrelevantdate</t>
  </si>
  <si>
    <t>custom_pillar_date</t>
  </si>
  <si>
    <t>qlYearOnYearInflationSwapHelper</t>
  </si>
  <si>
    <t>qlYearOnYearInflationSwapHelperSwap</t>
  </si>
  <si>
    <t>gearing</t>
  </si>
  <si>
    <t>qlYoYInflationCoupon</t>
  </si>
  <si>
    <t>qlYoYInflationCouponGearing</t>
  </si>
  <si>
    <t>qlYoYInflationCouponSpread</t>
  </si>
  <si>
    <t>qlYoYInflationCouponYoYIndex</t>
  </si>
  <si>
    <t>qlYoYInflationCouponInterpolation</t>
  </si>
  <si>
    <t>ts (qlFlatForward)</t>
  </si>
  <si>
    <t>coupon_black</t>
  </si>
  <si>
    <t>qlBlackYoYInflationCouponPricer</t>
  </si>
  <si>
    <t>qlYoYInflationCouponSetPricer</t>
  </si>
  <si>
    <t>qlYoYInflationCouponAdjustedFixing</t>
  </si>
  <si>
    <t>coupon_bachelier</t>
  </si>
  <si>
    <t>qlBachelierYoYInflationCouponPricer</t>
  </si>
  <si>
    <t>coupon_unit_displaced_black</t>
  </si>
  <si>
    <t>qlUnitDisplacedBlackYoYInflationCouponPricer</t>
  </si>
  <si>
    <t>qlCappedFlooredYoYInflationCoupon</t>
  </si>
  <si>
    <t>qlCappedFlooredYoYInflationCouponCap</t>
  </si>
  <si>
    <t>qlCappedFlooredYoYInflationCouponFloor</t>
  </si>
  <si>
    <t>qlCappedFlooredYoYInflationCouponEffectiveCap</t>
  </si>
  <si>
    <t>qlCappedFlooredYoYInflationCouponEffectiveFloor</t>
  </si>
  <si>
    <t>qlCappedFlooredYoYInflationCouponIsCapped</t>
  </si>
  <si>
    <t>qlCappedFlooredYoYInflationCouponIsFloored</t>
  </si>
  <si>
    <t>qlCappedFlooredYoYInflationCouponRate</t>
  </si>
  <si>
    <t>qlCappedFlooredYoYInflationCouponUnderlyingRate</t>
  </si>
  <si>
    <t>{=qlZeroInflationCurveDates(B21)}</t>
  </si>
  <si>
    <t>{=qlMultiplicativePriceSeasonalityFactors(B10)}</t>
  </si>
  <si>
    <t>{=qlMultiplicativePriceSeasonalityFactors(B32)}</t>
  </si>
  <si>
    <t>{=qlInflationPeriod(B4;B5)}</t>
  </si>
  <si>
    <t>{=qlZeroInflationCurveTimes(B21)}</t>
  </si>
  <si>
    <t>{=qlZeroInflationCurveData(B21)}</t>
  </si>
  <si>
    <t>{=qlZeroInflationCurveRates(B21)}</t>
  </si>
  <si>
    <t>{=qlZeroInflationCurveNotes(B21)}</t>
  </si>
  <si>
    <t>{=qlPiecewiseZeroInflationCurveDates(B35)}</t>
  </si>
  <si>
    <t>qlPiecewiseZeroInflationCurveTimes</t>
  </si>
  <si>
    <t>qllPiecewiseZeroInflationCurveData</t>
  </si>
  <si>
    <t>qlPiecewiseZeroInflationCurveNodes</t>
  </si>
  <si>
    <t>{=qlPiecewiseZeroInflationCurveData(B35)}</t>
  </si>
  <si>
    <t>{=qlPiecewiseZeroInflationCurveNodes(B35)}</t>
  </si>
  <si>
    <t>{=qlPiecewiseZeroInflationCurveTimes(B35)}</t>
  </si>
  <si>
    <t>{=qlYoYInflationCurveDates(B21)}</t>
  </si>
  <si>
    <t>{=qlYoYInflationCurveTimes(B21)}</t>
  </si>
  <si>
    <t>{=qlYoYInflationCurveData(B21)}</t>
  </si>
  <si>
    <t>{=qlYoYInflationCurveRates(B21)}</t>
  </si>
  <si>
    <t>{=qlYoYInflationCurveNodes(B21)}</t>
  </si>
  <si>
    <t>{=qlPiecewiseYoYInflationCurveDates(B36)}</t>
  </si>
  <si>
    <t>{=qlPiecewiseYoYInflationCurveTimes(B36)}</t>
  </si>
  <si>
    <t>{=qlPiecewiseYoYInflationCurveData(B36)}</t>
  </si>
  <si>
    <t>{=qlPiecewiseYoYInflationCurveNotes(B36)}</t>
  </si>
  <si>
    <t>{=qlYoYCapFloorTermPriceSurfaceStrikes(B33)}</t>
  </si>
  <si>
    <t>{=qlYoYCapFloorTermPriceSurfaceCapStrikes(B33)}</t>
  </si>
  <si>
    <t>{=qlYoYCapFloorTermPriceSurfaceFloorStrikes(B33)}</t>
  </si>
  <si>
    <t>{=qlYoYCapFloorTermPriceSurfaceMaturities(B33)}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</si>
</sst>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64">
    <xf numFmtId="0" fontId="0" fillId="0" borderId="0" xfId="0"/>
    <xf numFmtId="0" fontId="1" fillId="0" borderId="0" xfId="0" applyFont="1"/>
    <xf numFmtId="14" fontId="0" fillId="0" borderId="0" xfId="0" applyNumberFormat="1" applyAlignment="1">
      <alignment horizontal="left"/>
    </xf>
    <xf numFmtId="0" fontId="0" fillId="0" borderId="0" xfId="0" applyFill="1"/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0" fontId="5" fillId="0" borderId="0" xfId="0" applyFont="1"/>
    <xf numFmtId="0" fontId="7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Fill="1"/>
    <xf numFmtId="0" fontId="3" fillId="0" borderId="0" xfId="0" applyFont="1"/>
    <xf numFmtId="0" fontId="0" fillId="0" borderId="0" xfId="0" applyFill="1" applyAlignment="1">
      <alignment horizontal="left"/>
    </xf>
    <xf numFmtId="0" fontId="6" fillId="0" borderId="0" xfId="0" applyFont="1" applyAlignment="1">
      <alignment vertical="center"/>
    </xf>
    <xf numFmtId="0" fontId="4" fillId="0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2" fillId="0" borderId="0" xfId="0" applyFont="1" applyFill="1"/>
    <xf numFmtId="0" fontId="5" fillId="0" borderId="0" xfId="0" applyFont="1" applyAlignment="1">
      <alignment horizontal="left"/>
    </xf>
    <xf numFmtId="164" fontId="0" fillId="0" borderId="10" xfId="0" applyNumberFormat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/>
    <xf numFmtId="164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3" xfId="0" applyBorder="1"/>
    <xf numFmtId="164" fontId="0" fillId="0" borderId="15" xfId="0" applyNumberFormat="1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/>
    <xf numFmtId="0" fontId="0" fillId="0" borderId="19" xfId="0" applyBorder="1" applyAlignment="1">
      <alignment horizontal="left"/>
    </xf>
    <xf numFmtId="14" fontId="2" fillId="0" borderId="17" xfId="0" applyNumberFormat="1" applyFont="1" applyBorder="1" applyAlignment="1">
      <alignment horizontal="left" vertical="center"/>
    </xf>
    <xf numFmtId="14" fontId="2" fillId="0" borderId="18" xfId="0" applyNumberFormat="1" applyFont="1" applyBorder="1" applyAlignment="1">
      <alignment horizontal="left" vertical="center"/>
    </xf>
    <xf numFmtId="14" fontId="2" fillId="0" borderId="19" xfId="0" applyNumberFormat="1" applyFont="1" applyBorder="1" applyAlignment="1">
      <alignment horizontal="left" vertical="center"/>
    </xf>
    <xf numFmtId="0" fontId="2" fillId="0" borderId="17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0" fillId="0" borderId="0" xfId="0" applyAlignment="1">
      <alignment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0" fillId="0" borderId="4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Border="1" applyAlignment="1">
      <alignment horizontal="center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14" fontId="0" fillId="0" borderId="20" xfId="0" applyNumberFormat="1" applyBorder="1" applyAlignment="1">
      <alignment horizontal="left"/>
    </xf>
    <xf numFmtId="0" fontId="1" fillId="0" borderId="20" xfId="0" applyFont="1" applyBorder="1"/>
    <xf numFmtId="0" fontId="0" fillId="0" borderId="20" xfId="0" applyBorder="1" applyAlignment="1">
      <alignment horizontal="left"/>
    </xf>
    <xf numFmtId="14" fontId="0" fillId="0" borderId="11" xfId="0" applyNumberFormat="1" applyBorder="1" applyAlignment="1">
      <alignment horizontal="left"/>
    </xf>
    <xf numFmtId="0" fontId="1" fillId="0" borderId="14" xfId="0" applyFont="1" applyBorder="1"/>
    <xf numFmtId="0" fontId="0" fillId="0" borderId="16" xfId="0" applyBorder="1" applyAlignment="1">
      <alignment horizontal="left"/>
    </xf>
    <xf numFmtId="0" fontId="0" fillId="0" borderId="9" xfId="0" applyBorder="1"/>
    <xf numFmtId="0" fontId="0" fillId="0" borderId="13" xfId="0" applyNumberFormat="1" applyBorder="1" applyAlignment="1">
      <alignment horizontal="left"/>
    </xf>
    <xf numFmtId="0" fontId="0" fillId="0" borderId="0" xfId="0" applyBorder="1"/>
    <xf numFmtId="14" fontId="0" fillId="0" borderId="0" xfId="0" applyNumberFormat="1" applyBorder="1" applyAlignment="1">
      <alignment horizontal="left"/>
    </xf>
    <xf numFmtId="0" fontId="0" fillId="0" borderId="0" xfId="0" applyNumberFormat="1" applyBorder="1" applyAlignment="1">
      <alignment horizontal="left"/>
    </xf>
    <xf numFmtId="0" fontId="0" fillId="0" borderId="12" xfId="0" applyBorder="1"/>
    <xf numFmtId="14" fontId="0" fillId="0" borderId="13" xfId="0" applyNumberFormat="1" applyBorder="1" applyAlignment="1">
      <alignment horizontal="left"/>
    </xf>
    <xf numFmtId="0" fontId="0" fillId="0" borderId="16" xfId="0" applyNumberFormat="1" applyBorder="1" applyAlignment="1">
      <alignment horizontal="left"/>
    </xf>
    <xf numFmtId="0" fontId="0" fillId="0" borderId="13" xfId="0" applyBorder="1" applyAlignment="1">
      <alignment horizontal="left"/>
    </xf>
    <xf numFmtId="14" fontId="0" fillId="0" borderId="16" xfId="0" applyNumberFormat="1" applyBorder="1" applyAlignment="1">
      <alignment horizontal="left"/>
    </xf>
    <xf numFmtId="0" fontId="1" fillId="0" borderId="12" xfId="0" applyFont="1" applyBorder="1"/>
    <xf numFmtId="0" fontId="0" fillId="0" borderId="11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14" fontId="0" fillId="0" borderId="13" xfId="0" applyNumberFormat="1" applyFill="1" applyBorder="1" applyAlignment="1">
      <alignment horizontal="left"/>
    </xf>
    <xf numFmtId="0" fontId="0" fillId="0" borderId="16" xfId="0" applyFill="1" applyBorder="1" applyAlignment="1">
      <alignment horizontal="left"/>
    </xf>
    <xf numFmtId="0" fontId="6" fillId="0" borderId="9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14" fontId="0" fillId="0" borderId="10" xfId="0" applyNumberFormat="1" applyBorder="1" applyAlignment="1">
      <alignment horizontal="left"/>
    </xf>
    <xf numFmtId="0" fontId="0" fillId="0" borderId="12" xfId="0" applyBorder="1" applyAlignment="1">
      <alignment horizontal="left" vertical="center"/>
    </xf>
    <xf numFmtId="14" fontId="0" fillId="0" borderId="15" xfId="0" applyNumberFormat="1" applyBorder="1" applyAlignment="1">
      <alignment horizontal="left"/>
    </xf>
    <xf numFmtId="0" fontId="6" fillId="0" borderId="9" xfId="0" applyFont="1" applyFill="1" applyBorder="1"/>
    <xf numFmtId="0" fontId="6" fillId="0" borderId="12" xfId="0" applyFont="1" applyFill="1" applyBorder="1"/>
    <xf numFmtId="14" fontId="2" fillId="0" borderId="13" xfId="0" applyNumberFormat="1" applyFont="1" applyBorder="1" applyAlignment="1">
      <alignment horizontal="left"/>
    </xf>
    <xf numFmtId="0" fontId="3" fillId="0" borderId="14" xfId="0" applyFont="1" applyBorder="1"/>
    <xf numFmtId="0" fontId="1" fillId="0" borderId="21" xfId="0" applyFont="1" applyBorder="1"/>
    <xf numFmtId="0" fontId="0" fillId="0" borderId="23" xfId="0" applyBorder="1" applyAlignment="1">
      <alignment horizontal="left"/>
    </xf>
    <xf numFmtId="0" fontId="0" fillId="0" borderId="22" xfId="0" applyBorder="1" applyAlignment="1">
      <alignment horizontal="left"/>
    </xf>
    <xf numFmtId="0" fontId="7" fillId="0" borderId="14" xfId="0" applyFont="1" applyBorder="1" applyAlignment="1">
      <alignment vertical="center"/>
    </xf>
    <xf numFmtId="14" fontId="2" fillId="0" borderId="0" xfId="0" applyNumberFormat="1" applyFont="1" applyBorder="1" applyAlignment="1">
      <alignment horizontal="left"/>
    </xf>
    <xf numFmtId="0" fontId="3" fillId="0" borderId="20" xfId="0" applyFont="1" applyBorder="1"/>
    <xf numFmtId="0" fontId="7" fillId="0" borderId="14" xfId="0" applyFont="1" applyFill="1" applyBorder="1"/>
    <xf numFmtId="14" fontId="2" fillId="0" borderId="15" xfId="0" applyNumberFormat="1" applyFont="1" applyBorder="1" applyAlignment="1">
      <alignment horizontal="left"/>
    </xf>
    <xf numFmtId="14" fontId="2" fillId="0" borderId="16" xfId="0" applyNumberFormat="1" applyFont="1" applyBorder="1" applyAlignment="1">
      <alignment horizontal="left"/>
    </xf>
    <xf numFmtId="0" fontId="6" fillId="0" borderId="14" xfId="0" applyFont="1" applyFill="1" applyBorder="1"/>
    <xf numFmtId="0" fontId="0" fillId="0" borderId="15" xfId="0" applyFill="1" applyBorder="1" applyAlignment="1">
      <alignment horizontal="left"/>
    </xf>
    <xf numFmtId="14" fontId="2" fillId="0" borderId="15" xfId="0" quotePrefix="1" applyNumberFormat="1" applyFont="1" applyBorder="1" applyAlignment="1">
      <alignment horizontal="left"/>
    </xf>
    <xf numFmtId="0" fontId="8" fillId="0" borderId="9" xfId="0" applyFont="1" applyBorder="1"/>
    <xf numFmtId="0" fontId="0" fillId="0" borderId="10" xfId="0" applyNumberFormat="1" applyBorder="1" applyAlignment="1">
      <alignment horizontal="left"/>
    </xf>
    <xf numFmtId="0" fontId="0" fillId="0" borderId="11" xfId="0" applyNumberFormat="1" applyBorder="1" applyAlignment="1">
      <alignment horizontal="left"/>
    </xf>
    <xf numFmtId="0" fontId="8" fillId="0" borderId="12" xfId="0" applyFont="1" applyBorder="1"/>
    <xf numFmtId="0" fontId="7" fillId="0" borderId="12" xfId="0" applyFont="1" applyBorder="1" applyAlignment="1">
      <alignment vertical="center"/>
    </xf>
    <xf numFmtId="0" fontId="0" fillId="0" borderId="0" xfId="0" applyFill="1" applyBorder="1" applyAlignment="1">
      <alignment horizontal="left"/>
    </xf>
    <xf numFmtId="0" fontId="0" fillId="0" borderId="15" xfId="0" applyNumberFormat="1" applyBorder="1" applyAlignment="1">
      <alignment horizontal="left"/>
    </xf>
    <xf numFmtId="0" fontId="2" fillId="0" borderId="9" xfId="0" applyFont="1" applyBorder="1"/>
    <xf numFmtId="0" fontId="2" fillId="0" borderId="12" xfId="0" applyFont="1" applyBorder="1"/>
    <xf numFmtId="0" fontId="2" fillId="0" borderId="12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Fill="1" applyBorder="1" applyAlignment="1">
      <alignment horizontal="left"/>
    </xf>
    <xf numFmtId="0" fontId="2" fillId="0" borderId="14" xfId="0" applyFont="1" applyBorder="1"/>
    <xf numFmtId="0" fontId="4" fillId="0" borderId="0" xfId="0" applyFont="1" applyFill="1" applyBorder="1" applyAlignment="1">
      <alignment horizontal="left"/>
    </xf>
    <xf numFmtId="14" fontId="2" fillId="0" borderId="13" xfId="0" applyNumberFormat="1" applyFont="1" applyFill="1" applyBorder="1" applyAlignment="1">
      <alignment horizontal="left"/>
    </xf>
    <xf numFmtId="0" fontId="2" fillId="0" borderId="12" xfId="0" applyFont="1" applyFill="1" applyBorder="1"/>
    <xf numFmtId="0" fontId="3" fillId="0" borderId="14" xfId="0" applyFont="1" applyFill="1" applyBorder="1"/>
    <xf numFmtId="0" fontId="3" fillId="0" borderId="20" xfId="0" applyFont="1" applyBorder="1" applyAlignment="1">
      <alignment horizontal="left" vertical="center"/>
    </xf>
    <xf numFmtId="0" fontId="2" fillId="0" borderId="11" xfId="0" applyNumberFormat="1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3" xfId="0" applyFont="1" applyBorder="1" applyAlignment="1">
      <alignment horizontal="left" vertical="center"/>
    </xf>
    <xf numFmtId="14" fontId="2" fillId="0" borderId="13" xfId="0" applyNumberFormat="1" applyFont="1" applyBorder="1" applyAlignment="1">
      <alignment horizontal="left" vertical="center"/>
    </xf>
    <xf numFmtId="0" fontId="3" fillId="0" borderId="12" xfId="0" applyFont="1" applyBorder="1"/>
    <xf numFmtId="0" fontId="0" fillId="0" borderId="11" xfId="0" applyBorder="1" applyAlignment="1">
      <alignment horizontal="left"/>
    </xf>
    <xf numFmtId="0" fontId="2" fillId="0" borderId="9" xfId="0" applyFont="1" applyFill="1" applyBorder="1"/>
    <xf numFmtId="0" fontId="3" fillId="0" borderId="12" xfId="0" applyFont="1" applyFill="1" applyBorder="1"/>
    <xf numFmtId="0" fontId="0" fillId="0" borderId="13" xfId="0" applyNumberFormat="1" applyFill="1" applyBorder="1" applyAlignment="1">
      <alignment horizontal="left"/>
    </xf>
    <xf numFmtId="0" fontId="0" fillId="0" borderId="14" xfId="0" applyFont="1" applyBorder="1" applyAlignment="1">
      <alignment vertical="center"/>
    </xf>
    <xf numFmtId="14" fontId="0" fillId="0" borderId="15" xfId="0" applyNumberFormat="1" applyFill="1" applyBorder="1" applyAlignment="1">
      <alignment horizontal="left"/>
    </xf>
    <xf numFmtId="14" fontId="0" fillId="0" borderId="16" xfId="0" applyNumberFormat="1" applyFill="1" applyBorder="1" applyAlignment="1">
      <alignment horizontal="left"/>
    </xf>
    <xf numFmtId="14" fontId="0" fillId="0" borderId="10" xfId="0" applyNumberFormat="1" applyFill="1" applyBorder="1" applyAlignment="1">
      <alignment horizontal="left"/>
    </xf>
    <xf numFmtId="14" fontId="0" fillId="0" borderId="11" xfId="0" applyNumberFormat="1" applyFill="1" applyBorder="1" applyAlignment="1">
      <alignment horizontal="left"/>
    </xf>
    <xf numFmtId="0" fontId="0" fillId="0" borderId="0" xfId="0" applyNumberFormat="1" applyFill="1" applyBorder="1" applyAlignment="1">
      <alignment horizontal="left"/>
    </xf>
    <xf numFmtId="14" fontId="0" fillId="0" borderId="0" xfId="0" applyNumberFormat="1" applyFill="1" applyBorder="1" applyAlignment="1">
      <alignment horizontal="left"/>
    </xf>
    <xf numFmtId="0" fontId="0" fillId="0" borderId="12" xfId="0" applyFont="1" applyBorder="1" applyAlignment="1">
      <alignment vertical="center"/>
    </xf>
    <xf numFmtId="0" fontId="8" fillId="0" borderId="9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3" fillId="0" borderId="14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0" fillId="0" borderId="14" xfId="0" applyBorder="1"/>
    <xf numFmtId="0" fontId="0" fillId="0" borderId="9" xfId="0" applyBorder="1" applyAlignment="1">
      <alignment horizontal="left" vertical="center"/>
    </xf>
    <xf numFmtId="14" fontId="0" fillId="0" borderId="23" xfId="0" applyNumberFormat="1" applyBorder="1" applyAlignment="1">
      <alignment horizontal="left"/>
    </xf>
    <xf numFmtId="0" fontId="0" fillId="0" borderId="10" xfId="0" applyFill="1" applyBorder="1" applyAlignment="1">
      <alignment horizontal="left"/>
    </xf>
    <xf numFmtId="0" fontId="8" fillId="0" borderId="9" xfId="0" applyFont="1" applyFill="1" applyBorder="1"/>
    <xf numFmtId="0" fontId="0" fillId="0" borderId="10" xfId="0" applyNumberFormat="1" applyFill="1" applyBorder="1" applyAlignment="1">
      <alignment horizontal="left"/>
    </xf>
    <xf numFmtId="0" fontId="8" fillId="0" borderId="12" xfId="0" applyFont="1" applyFill="1" applyBorder="1"/>
    <xf numFmtId="0" fontId="3" fillId="0" borderId="12" xfId="0" applyFont="1" applyFill="1" applyBorder="1" applyAlignment="1">
      <alignment vertical="center"/>
    </xf>
    <xf numFmtId="0" fontId="2" fillId="0" borderId="0" xfId="0" applyNumberFormat="1" applyFont="1" applyBorder="1" applyAlignment="1">
      <alignment horizontal="left"/>
    </xf>
    <xf numFmtId="0" fontId="3" fillId="0" borderId="21" xfId="0" applyFont="1" applyFill="1" applyBorder="1"/>
    <xf numFmtId="0" fontId="0" fillId="0" borderId="23" xfId="0" applyNumberFormat="1" applyBorder="1" applyAlignment="1">
      <alignment horizontal="left"/>
    </xf>
    <xf numFmtId="0" fontId="3" fillId="0" borderId="21" xfId="0" applyFont="1" applyBorder="1"/>
    <xf numFmtId="0" fontId="8" fillId="0" borderId="12" xfId="0" applyFont="1" applyFill="1" applyBorder="1" applyAlignment="1">
      <alignment horizontal="left" vertical="center"/>
    </xf>
    <xf numFmtId="0" fontId="0" fillId="0" borderId="12" xfId="0" applyFill="1" applyBorder="1" applyAlignment="1">
      <alignment horizontal="left" vertical="center"/>
    </xf>
    <xf numFmtId="11" fontId="0" fillId="0" borderId="0" xfId="0" applyNumberFormat="1" applyBorder="1" applyAlignment="1">
      <alignment horizontal="left"/>
    </xf>
    <xf numFmtId="0" fontId="2" fillId="0" borderId="23" xfId="0" applyNumberFormat="1" applyFont="1" applyBorder="1" applyAlignment="1">
      <alignment horizontal="left"/>
    </xf>
    <xf numFmtId="14" fontId="2" fillId="0" borderId="23" xfId="0" applyNumberFormat="1" applyFont="1" applyBorder="1" applyAlignment="1">
      <alignment horizontal="left"/>
    </xf>
    <xf numFmtId="0" fontId="3" fillId="0" borderId="9" xfId="0" applyFont="1" applyFill="1" applyBorder="1"/>
    <xf numFmtId="0" fontId="4" fillId="0" borderId="16" xfId="0" applyFont="1" applyBorder="1" applyAlignment="1">
      <alignment horizontal="left"/>
    </xf>
    <xf numFmtId="0" fontId="2" fillId="0" borderId="16" xfId="0" applyNumberFormat="1" applyFont="1" applyFill="1" applyBorder="1" applyAlignment="1">
      <alignment horizontal="left"/>
    </xf>
    <xf numFmtId="0" fontId="0" fillId="0" borderId="21" xfId="0" applyBorder="1"/>
    <xf numFmtId="0" fontId="0" fillId="0" borderId="20" xfId="0" applyFont="1" applyBorder="1" applyAlignment="1">
      <alignment horizontal="left"/>
    </xf>
    <xf numFmtId="14" fontId="0" fillId="0" borderId="20" xfId="0" applyNumberFormat="1" applyFont="1" applyBorder="1" applyAlignment="1">
      <alignment horizontal="left"/>
    </xf>
    <xf numFmtId="0" fontId="4" fillId="0" borderId="11" xfId="0" applyFont="1" applyFill="1" applyBorder="1" applyAlignment="1">
      <alignment horizontal="left"/>
    </xf>
    <xf numFmtId="0" fontId="2" fillId="0" borderId="0" xfId="0" applyFont="1" applyBorder="1" applyAlignment="1">
      <alignment horizontal="left"/>
    </xf>
    <xf numFmtId="9" fontId="0" fillId="0" borderId="10" xfId="0" applyNumberFormat="1" applyBorder="1" applyAlignment="1">
      <alignment horizontal="left"/>
    </xf>
    <xf numFmtId="9" fontId="0" fillId="0" borderId="11" xfId="0" applyNumberFormat="1" applyBorder="1"/>
    <xf numFmtId="0" fontId="0" fillId="0" borderId="11" xfId="0" applyFill="1" applyBorder="1"/>
    <xf numFmtId="0" fontId="0" fillId="0" borderId="13" xfId="0" applyFill="1" applyBorder="1"/>
    <xf numFmtId="0" fontId="0" fillId="0" borderId="22" xfId="0" applyBorder="1"/>
    <xf numFmtId="0" fontId="1" fillId="0" borderId="9" xfId="0" applyFont="1" applyBorder="1"/>
    <xf numFmtId="0" fontId="1" fillId="0" borderId="12" xfId="0" applyFont="1" applyFill="1" applyBorder="1"/>
    <xf numFmtId="0" fontId="8" fillId="0" borderId="14" xfId="0" applyFont="1" applyBorder="1"/>
    <xf numFmtId="0" fontId="2" fillId="0" borderId="0" xfId="0" applyFont="1" applyBorder="1" applyAlignment="1">
      <alignment horizontal="left" vertical="center"/>
    </xf>
    <xf numFmtId="14" fontId="2" fillId="0" borderId="0" xfId="0" applyNumberFormat="1" applyFont="1" applyBorder="1" applyAlignment="1">
      <alignment horizontal="left" vertical="center"/>
    </xf>
    <xf numFmtId="0" fontId="0" fillId="0" borderId="14" xfId="0" applyFont="1" applyBorder="1"/>
    <xf numFmtId="0" fontId="2" fillId="0" borderId="13" xfId="0" applyNumberFormat="1" applyFont="1" applyBorder="1" applyAlignment="1">
      <alignment horizontal="left"/>
    </xf>
    <xf numFmtId="0" fontId="9" fillId="0" borderId="14" xfId="0" applyFont="1" applyBorder="1"/>
    <xf numFmtId="0" fontId="8" fillId="0" borderId="21" xfId="0" applyFont="1" applyFill="1" applyBorder="1"/>
    <xf numFmtId="0" fontId="2" fillId="0" borderId="14" xfId="0" applyFont="1" applyFill="1" applyBorder="1"/>
    <xf numFmtId="0" fontId="8" fillId="0" borderId="12" xfId="0" applyFont="1" applyFill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14" fontId="8" fillId="0" borderId="11" xfId="0" applyNumberFormat="1" applyFont="1" applyBorder="1" applyAlignment="1">
      <alignment horizontal="left"/>
    </xf>
    <xf numFmtId="14" fontId="8" fillId="0" borderId="13" xfId="0" applyNumberFormat="1" applyFont="1" applyBorder="1" applyAlignment="1">
      <alignment horizontal="left"/>
    </xf>
    <xf numFmtId="0" fontId="8" fillId="0" borderId="13" xfId="0" applyFont="1" applyBorder="1" applyAlignment="1">
      <alignment horizontal="left"/>
    </xf>
    <xf numFmtId="0" fontId="8" fillId="0" borderId="13" xfId="0" applyFont="1" applyFill="1" applyBorder="1" applyAlignment="1">
      <alignment horizontal="left"/>
    </xf>
    <xf numFmtId="14" fontId="8" fillId="0" borderId="16" xfId="0" applyNumberFormat="1" applyFont="1" applyBorder="1" applyAlignment="1">
      <alignment horizontal="left"/>
    </xf>
    <xf numFmtId="0" fontId="8" fillId="0" borderId="13" xfId="0" applyNumberFormat="1" applyFont="1" applyBorder="1" applyAlignment="1">
      <alignment horizontal="left"/>
    </xf>
    <xf numFmtId="0" fontId="0" fillId="0" borderId="16" xfId="0" applyNumberFormat="1" applyFont="1" applyBorder="1" applyAlignment="1">
      <alignment horizontal="left"/>
    </xf>
    <xf numFmtId="0" fontId="8" fillId="0" borderId="14" xfId="0" applyFont="1" applyFill="1" applyBorder="1"/>
    <xf numFmtId="0" fontId="2" fillId="0" borderId="11" xfId="0" applyFont="1" applyBorder="1" applyAlignment="1">
      <alignment horizontal="left"/>
    </xf>
    <xf numFmtId="14" fontId="2" fillId="0" borderId="11" xfId="0" applyNumberFormat="1" applyFont="1" applyBorder="1" applyAlignment="1">
      <alignment horizontal="left" vertical="center"/>
    </xf>
    <xf numFmtId="14" fontId="2" fillId="0" borderId="16" xfId="0" applyNumberFormat="1" applyFont="1" applyBorder="1" applyAlignment="1">
      <alignment horizontal="left" vertical="center"/>
    </xf>
    <xf numFmtId="14" fontId="2" fillId="0" borderId="10" xfId="0" applyNumberFormat="1" applyFont="1" applyBorder="1" applyAlignment="1">
      <alignment horizontal="left" vertical="center"/>
    </xf>
    <xf numFmtId="14" fontId="2" fillId="0" borderId="15" xfId="0" applyNumberFormat="1" applyFont="1" applyBorder="1" applyAlignment="1">
      <alignment horizontal="left" vertical="center"/>
    </xf>
    <xf numFmtId="0" fontId="2" fillId="0" borderId="10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0" fillId="0" borderId="0" xfId="0" applyAlignment="1"/>
    <xf numFmtId="14" fontId="0" fillId="0" borderId="0" xfId="0" applyNumberFormat="1" applyAlignment="1"/>
    <xf numFmtId="0" fontId="0" fillId="0" borderId="12" xfId="0" applyBorder="1" applyAlignment="1">
      <alignment vertical="center"/>
    </xf>
    <xf numFmtId="0" fontId="1" fillId="0" borderId="19" xfId="0" applyFont="1" applyBorder="1"/>
    <xf numFmtId="14" fontId="0" fillId="0" borderId="19" xfId="0" applyNumberFormat="1" applyBorder="1" applyAlignment="1">
      <alignment horizontal="left"/>
    </xf>
    <xf numFmtId="0" fontId="0" fillId="0" borderId="0" xfId="0" applyAlignment="1">
      <alignment horizontal="right"/>
    </xf>
    <xf numFmtId="2" fontId="0" fillId="0" borderId="0" xfId="0" quotePrefix="1" applyNumberFormat="1" applyAlignment="1"/>
    <xf numFmtId="0" fontId="0" fillId="0" borderId="17" xfId="0" applyBorder="1" applyAlignment="1">
      <alignment horizontal="left"/>
    </xf>
    <xf numFmtId="0" fontId="6" fillId="0" borderId="12" xfId="0" applyFont="1" applyBorder="1"/>
    <xf numFmtId="0" fontId="5" fillId="0" borderId="9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14" xfId="0" applyFont="1" applyBorder="1"/>
    <xf numFmtId="0" fontId="1" fillId="0" borderId="14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0" fillId="0" borderId="22" xfId="0" applyNumberFormat="1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9" xfId="0" applyFill="1" applyBorder="1"/>
    <xf numFmtId="0" fontId="0" fillId="0" borderId="12" xfId="0" applyFill="1" applyBorder="1"/>
    <xf numFmtId="0" fontId="1" fillId="0" borderId="14" xfId="0" applyFont="1" applyFill="1" applyBorder="1"/>
    <xf numFmtId="0" fontId="0" fillId="0" borderId="14" xfId="0" applyFont="1" applyBorder="1" applyAlignment="1"/>
    <xf numFmtId="0" fontId="0" fillId="0" borderId="16" xfId="0" applyFill="1" applyBorder="1" applyAlignment="1"/>
    <xf numFmtId="0" fontId="7" fillId="0" borderId="12" xfId="0" applyFont="1" applyFill="1" applyBorder="1"/>
    <xf numFmtId="14" fontId="2" fillId="0" borderId="0" xfId="0" quotePrefix="1" applyNumberFormat="1" applyFont="1" applyBorder="1" applyAlignment="1">
      <alignment horizontal="left"/>
    </xf>
    <xf numFmtId="0" fontId="0" fillId="0" borderId="15" xfId="0" applyBorder="1"/>
    <xf numFmtId="0" fontId="3" fillId="0" borderId="20" xfId="0" applyFont="1" applyBorder="1" applyAlignment="1">
      <alignment vertical="center"/>
    </xf>
    <xf numFmtId="0" fontId="0" fillId="0" borderId="14" xfId="0" applyFont="1" applyBorder="1" applyAlignment="1">
      <alignment wrapText="1"/>
    </xf>
    <xf numFmtId="0" fontId="0" fillId="0" borderId="12" xfId="0" applyFont="1" applyBorder="1"/>
    <xf numFmtId="0" fontId="6" fillId="0" borderId="20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14" fontId="2" fillId="0" borderId="16" xfId="0" quotePrefix="1" applyNumberFormat="1" applyFont="1" applyBorder="1" applyAlignment="1">
      <alignment horizontal="left"/>
    </xf>
    <xf numFmtId="0" fontId="2" fillId="0" borderId="16" xfId="0" applyFont="1" applyFill="1" applyBorder="1" applyAlignment="1">
      <alignment horizontal="left"/>
    </xf>
    <xf numFmtId="0" fontId="3" fillId="0" borderId="20" xfId="0" applyFont="1" applyFill="1" applyBorder="1"/>
    <xf numFmtId="0" fontId="2" fillId="0" borderId="17" xfId="0" applyFont="1" applyBorder="1"/>
    <xf numFmtId="0" fontId="2" fillId="0" borderId="21" xfId="0" applyFont="1" applyBorder="1"/>
    <xf numFmtId="0" fontId="0" fillId="0" borderId="11" xfId="0" applyNumberFormat="1" applyFill="1" applyBorder="1" applyAlignment="1">
      <alignment horizontal="left"/>
    </xf>
    <xf numFmtId="0" fontId="0" fillId="0" borderId="16" xfId="0" applyNumberFormat="1" applyFill="1" applyBorder="1" applyAlignment="1">
      <alignment horizontal="left"/>
    </xf>
    <xf numFmtId="0" fontId="0" fillId="0" borderId="13" xfId="0" quotePrefix="1" applyBorder="1" applyAlignment="1">
      <alignment horizontal="left"/>
    </xf>
    <xf numFmtId="0" fontId="0" fillId="0" borderId="4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2" fillId="0" borderId="2" xfId="0" applyFont="1" applyBorder="1"/>
    <xf numFmtId="0" fontId="2" fillId="0" borderId="25" xfId="0" applyFont="1" applyBorder="1"/>
    <xf numFmtId="0" fontId="0" fillId="0" borderId="25" xfId="0" applyBorder="1"/>
    <xf numFmtId="0" fontId="0" fillId="0" borderId="25" xfId="0" applyFill="1" applyBorder="1"/>
    <xf numFmtId="0" fontId="2" fillId="0" borderId="25" xfId="0" applyFont="1" applyFill="1" applyBorder="1"/>
    <xf numFmtId="0" fontId="4" fillId="0" borderId="25" xfId="0" applyFont="1" applyBorder="1"/>
    <xf numFmtId="0" fontId="4" fillId="0" borderId="8" xfId="0" applyFont="1" applyBorder="1"/>
    <xf numFmtId="0" fontId="3" fillId="0" borderId="9" xfId="0" applyFont="1" applyBorder="1" applyAlignment="1">
      <alignment vertical="center"/>
    </xf>
    <xf numFmtId="0" fontId="3" fillId="0" borderId="17" xfId="0" applyFont="1" applyBorder="1"/>
    <xf numFmtId="14" fontId="0" fillId="0" borderId="16" xfId="0" quotePrefix="1" applyNumberFormat="1" applyBorder="1" applyAlignment="1">
      <alignment horizontal="left"/>
    </xf>
    <xf numFmtId="14" fontId="2" fillId="0" borderId="20" xfId="0" applyNumberFormat="1" applyFont="1" applyBorder="1" applyAlignment="1">
      <alignment horizontal="left"/>
    </xf>
    <xf numFmtId="14" fontId="0" fillId="0" borderId="0" xfId="0" quotePrefix="1" applyNumberFormat="1" applyBorder="1" applyAlignment="1">
      <alignment horizontal="left"/>
    </xf>
    <xf numFmtId="0" fontId="0" fillId="0" borderId="0" xfId="0" quotePrefix="1" applyBorder="1" applyAlignment="1">
      <alignment horizontal="left"/>
    </xf>
    <xf numFmtId="0" fontId="3" fillId="0" borderId="9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3" fillId="0" borderId="9" xfId="0" applyFont="1" applyBorder="1"/>
    <xf numFmtId="14" fontId="0" fillId="0" borderId="15" xfId="0" quotePrefix="1" applyNumberFormat="1" applyBorder="1" applyAlignment="1">
      <alignment horizontal="left"/>
    </xf>
    <xf numFmtId="0" fontId="3" fillId="0" borderId="14" xfId="0" applyFont="1" applyBorder="1" applyAlignment="1">
      <alignment wrapText="1"/>
    </xf>
    <xf numFmtId="0" fontId="0" fillId="0" borderId="15" xfId="0" quotePrefix="1" applyBorder="1" applyAlignment="1">
      <alignment horizontal="left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3" fillId="0" borderId="12" xfId="0" applyFont="1" applyBorder="1" applyAlignment="1">
      <alignment horizontal="left" vertical="center"/>
    </xf>
    <xf numFmtId="0" fontId="3" fillId="0" borderId="12" xfId="0" applyNumberFormat="1" applyFont="1" applyBorder="1"/>
    <xf numFmtId="0" fontId="2" fillId="0" borderId="23" xfId="0" quotePrefix="1" applyNumberFormat="1" applyFont="1" applyBorder="1" applyAlignment="1">
      <alignment horizontal="left"/>
    </xf>
    <xf numFmtId="0" fontId="2" fillId="0" borderId="22" xfId="0" quotePrefix="1" applyNumberFormat="1" applyFont="1" applyBorder="1" applyAlignment="1">
      <alignment horizontal="left"/>
    </xf>
    <xf numFmtId="14" fontId="0" fillId="0" borderId="22" xfId="0" applyNumberFormat="1" applyBorder="1" applyAlignment="1">
      <alignment horizontal="left"/>
    </xf>
    <xf numFmtId="0" fontId="3" fillId="0" borderId="21" xfId="0" applyFont="1" applyBorder="1" applyAlignment="1">
      <alignment horizontal="left" vertical="center"/>
    </xf>
    <xf numFmtId="0" fontId="3" fillId="0" borderId="21" xfId="0" applyNumberFormat="1" applyFont="1" applyBorder="1"/>
    <xf numFmtId="0" fontId="2" fillId="0" borderId="22" xfId="0" applyNumberFormat="1" applyFont="1" applyBorder="1" applyAlignment="1">
      <alignment horizontal="left"/>
    </xf>
    <xf numFmtId="0" fontId="3" fillId="0" borderId="9" xfId="0" applyFont="1" applyBorder="1" applyAlignment="1">
      <alignment horizontal="left" vertical="center"/>
    </xf>
    <xf numFmtId="14" fontId="0" fillId="0" borderId="13" xfId="0" quotePrefix="1" applyNumberFormat="1" applyBorder="1" applyAlignment="1">
      <alignment horizontal="left"/>
    </xf>
    <xf numFmtId="0" fontId="1" fillId="0" borderId="12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0" fillId="0" borderId="19" xfId="0" applyNumberFormat="1" applyBorder="1" applyAlignment="1">
      <alignment horizontal="left"/>
    </xf>
    <xf numFmtId="0" fontId="0" fillId="0" borderId="23" xfId="0" quotePrefix="1" applyBorder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mailto:#=@qlInflationTermStructureSetSeasonality(B21;D19;B21)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mailto:#=@qlInflationTermStructureSetSeasonality(B35;D32;B35)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75B13-35C0-4BE3-9424-8317D3F6D122}">
  <dimension ref="A1:I34"/>
  <sheetViews>
    <sheetView tabSelected="1" workbookViewId="0"/>
  </sheetViews>
  <sheetFormatPr baseColWidth="10" defaultColWidth="11.5703125" defaultRowHeight="15" x14ac:dyDescent="0.25"/>
  <cols>
    <col min="1" max="1" width="11.42578125" style="3"/>
    <col min="2" max="2" width="54.42578125" customWidth="1"/>
    <col min="3" max="3" width="18.28515625" style="34" customWidth="1"/>
    <col min="4" max="4" width="16.85546875" style="34" customWidth="1"/>
    <col min="5" max="5" width="21.140625" style="34" customWidth="1"/>
    <col min="6" max="6" width="20.28515625" style="34" customWidth="1"/>
    <col min="7" max="7" width="17.28515625" style="34" customWidth="1"/>
    <col min="8" max="8" width="24.7109375" style="34" customWidth="1"/>
    <col min="9" max="9" width="20" style="34" customWidth="1"/>
  </cols>
  <sheetData>
    <row r="1" spans="2:9" ht="15.75" thickBot="1" x14ac:dyDescent="0.3"/>
    <row r="2" spans="2:9" ht="30" x14ac:dyDescent="0.25">
      <c r="B2" s="262" t="s">
        <v>0</v>
      </c>
      <c r="C2" s="35" t="s">
        <v>1</v>
      </c>
      <c r="D2" s="36"/>
      <c r="E2" s="37"/>
      <c r="F2" s="37"/>
      <c r="G2" s="37"/>
      <c r="H2" s="37"/>
      <c r="I2" s="38"/>
    </row>
    <row r="3" spans="2:9" ht="45.75" thickBot="1" x14ac:dyDescent="0.3">
      <c r="B3" s="263"/>
      <c r="C3" s="40" t="s">
        <v>6</v>
      </c>
      <c r="D3" s="41" t="s">
        <v>7</v>
      </c>
      <c r="E3" s="41" t="s">
        <v>8</v>
      </c>
      <c r="F3" s="41" t="s">
        <v>9</v>
      </c>
      <c r="G3" s="41" t="s">
        <v>10</v>
      </c>
      <c r="H3" s="41" t="s">
        <v>11</v>
      </c>
      <c r="I3" s="42" t="s">
        <v>114</v>
      </c>
    </row>
    <row r="4" spans="2:9" x14ac:dyDescent="0.25">
      <c r="B4" s="227" t="s">
        <v>4</v>
      </c>
      <c r="C4" s="224"/>
      <c r="D4" s="224"/>
      <c r="E4" s="224"/>
      <c r="F4" s="224"/>
      <c r="G4" s="224"/>
      <c r="H4" s="224"/>
      <c r="I4" s="225"/>
    </row>
    <row r="5" spans="2:9" x14ac:dyDescent="0.25">
      <c r="B5" s="228" t="s">
        <v>5</v>
      </c>
      <c r="C5" s="39"/>
      <c r="D5" s="39"/>
      <c r="E5" s="39"/>
      <c r="F5" s="39"/>
      <c r="G5" s="39"/>
      <c r="H5" s="39"/>
      <c r="I5" s="226"/>
    </row>
    <row r="6" spans="2:9" x14ac:dyDescent="0.25">
      <c r="B6" s="229" t="s">
        <v>187</v>
      </c>
      <c r="C6" s="39"/>
      <c r="D6" s="39"/>
      <c r="E6" s="39"/>
      <c r="F6" s="39"/>
      <c r="G6" s="39"/>
      <c r="H6" s="39"/>
      <c r="I6" s="226"/>
    </row>
    <row r="7" spans="2:9" x14ac:dyDescent="0.25">
      <c r="B7" s="228" t="s">
        <v>27</v>
      </c>
      <c r="C7" s="39"/>
      <c r="D7" s="39"/>
      <c r="E7" s="39"/>
      <c r="F7" s="39"/>
      <c r="G7" s="39"/>
      <c r="H7" s="39"/>
      <c r="I7" s="226"/>
    </row>
    <row r="8" spans="2:9" x14ac:dyDescent="0.25">
      <c r="B8" s="228" t="s">
        <v>25</v>
      </c>
      <c r="C8" s="39"/>
      <c r="D8" s="39"/>
      <c r="E8" s="39"/>
      <c r="F8" s="39"/>
      <c r="G8" s="39"/>
      <c r="H8" s="39"/>
      <c r="I8" s="226"/>
    </row>
    <row r="9" spans="2:9" x14ac:dyDescent="0.25">
      <c r="B9" s="230" t="s">
        <v>88</v>
      </c>
      <c r="C9" s="39"/>
      <c r="D9" s="39"/>
      <c r="E9" s="39"/>
      <c r="F9" s="39"/>
      <c r="G9" s="39"/>
      <c r="H9" s="39"/>
      <c r="I9" s="226"/>
    </row>
    <row r="10" spans="2:9" x14ac:dyDescent="0.25">
      <c r="B10" s="230" t="s">
        <v>311</v>
      </c>
      <c r="C10" s="39"/>
      <c r="D10" s="39"/>
      <c r="E10" s="39"/>
      <c r="F10" s="39"/>
      <c r="G10" s="39"/>
      <c r="H10" s="39"/>
      <c r="I10" s="226"/>
    </row>
    <row r="11" spans="2:9" x14ac:dyDescent="0.25">
      <c r="B11" s="231" t="s">
        <v>111</v>
      </c>
      <c r="C11" s="39"/>
      <c r="D11" s="39" t="s">
        <v>112</v>
      </c>
      <c r="E11" s="39" t="s">
        <v>112</v>
      </c>
      <c r="F11" s="39" t="s">
        <v>112</v>
      </c>
      <c r="G11" s="39"/>
      <c r="H11" s="39"/>
      <c r="I11" s="226"/>
    </row>
    <row r="12" spans="2:9" x14ac:dyDescent="0.25">
      <c r="B12" s="231" t="s">
        <v>113</v>
      </c>
      <c r="C12" s="39"/>
      <c r="D12" s="39" t="s">
        <v>112</v>
      </c>
      <c r="E12" s="39" t="s">
        <v>112</v>
      </c>
      <c r="F12" s="39" t="s">
        <v>112</v>
      </c>
      <c r="G12" s="39"/>
      <c r="H12" s="39"/>
      <c r="I12" s="226"/>
    </row>
    <row r="13" spans="2:9" x14ac:dyDescent="0.25">
      <c r="B13" s="231" t="s">
        <v>118</v>
      </c>
      <c r="C13" s="39" t="s">
        <v>112</v>
      </c>
      <c r="D13" s="39"/>
      <c r="E13" s="39"/>
      <c r="F13" s="39"/>
      <c r="G13" s="39"/>
      <c r="H13" s="39"/>
      <c r="I13" s="226"/>
    </row>
    <row r="14" spans="2:9" x14ac:dyDescent="0.25">
      <c r="B14" s="231" t="s">
        <v>26</v>
      </c>
      <c r="C14" s="39"/>
      <c r="D14" s="39"/>
      <c r="E14" s="39"/>
      <c r="F14" s="39"/>
      <c r="G14" s="39"/>
      <c r="H14" s="39"/>
      <c r="I14" s="226"/>
    </row>
    <row r="15" spans="2:9" x14ac:dyDescent="0.25">
      <c r="B15" s="231" t="s">
        <v>67</v>
      </c>
      <c r="C15" s="39"/>
      <c r="D15" s="39"/>
      <c r="E15" s="39"/>
      <c r="F15" s="39"/>
      <c r="G15" s="39"/>
      <c r="H15" s="39"/>
      <c r="I15" s="226"/>
    </row>
    <row r="16" spans="2:9" x14ac:dyDescent="0.25">
      <c r="B16" s="231" t="s">
        <v>28</v>
      </c>
      <c r="C16" s="39"/>
      <c r="D16" s="39"/>
      <c r="E16" s="39"/>
      <c r="F16" s="39"/>
      <c r="G16" s="39"/>
      <c r="H16" s="39"/>
      <c r="I16" s="226"/>
    </row>
    <row r="17" spans="1:9" x14ac:dyDescent="0.25">
      <c r="B17" s="231" t="s">
        <v>29</v>
      </c>
      <c r="C17" s="39"/>
      <c r="D17" s="39"/>
      <c r="E17" s="39"/>
      <c r="F17" s="39"/>
      <c r="G17" s="39"/>
      <c r="H17" s="39"/>
      <c r="I17" s="226"/>
    </row>
    <row r="18" spans="1:9" x14ac:dyDescent="0.25">
      <c r="B18" s="229" t="s">
        <v>117</v>
      </c>
      <c r="C18" s="39"/>
      <c r="D18" s="39"/>
      <c r="E18" s="39"/>
      <c r="F18" s="39"/>
      <c r="G18" s="39"/>
      <c r="H18" s="39"/>
      <c r="I18" s="226"/>
    </row>
    <row r="19" spans="1:9" x14ac:dyDescent="0.25">
      <c r="B19" s="231" t="s">
        <v>139</v>
      </c>
      <c r="C19" s="39"/>
      <c r="D19" s="39"/>
      <c r="E19" s="39"/>
      <c r="F19" s="39"/>
      <c r="G19" s="39"/>
      <c r="H19" s="39"/>
      <c r="I19" s="226"/>
    </row>
    <row r="20" spans="1:9" x14ac:dyDescent="0.25">
      <c r="B20" s="231" t="s">
        <v>169</v>
      </c>
      <c r="C20" s="39"/>
      <c r="D20" s="39"/>
      <c r="E20" s="39"/>
      <c r="F20" s="39"/>
      <c r="G20" s="39"/>
      <c r="H20" s="39"/>
      <c r="I20" s="226"/>
    </row>
    <row r="21" spans="1:9" x14ac:dyDescent="0.25">
      <c r="A21" s="16"/>
      <c r="B21" s="231" t="s">
        <v>170</v>
      </c>
      <c r="C21" s="39"/>
      <c r="D21" s="39"/>
      <c r="E21" s="39"/>
      <c r="F21" s="39"/>
      <c r="G21" s="39"/>
      <c r="H21" s="39"/>
      <c r="I21" s="226"/>
    </row>
    <row r="22" spans="1:9" x14ac:dyDescent="0.25">
      <c r="B22" s="231" t="s">
        <v>181</v>
      </c>
      <c r="C22" s="39"/>
      <c r="D22" s="39"/>
      <c r="E22" s="39"/>
      <c r="F22" s="39"/>
      <c r="G22" s="39"/>
      <c r="H22" s="39"/>
      <c r="I22" s="226"/>
    </row>
    <row r="23" spans="1:9" x14ac:dyDescent="0.25">
      <c r="B23" s="231" t="s">
        <v>188</v>
      </c>
      <c r="C23" s="39"/>
      <c r="D23" s="39"/>
      <c r="E23" s="39"/>
      <c r="F23" s="39"/>
      <c r="G23" s="39"/>
      <c r="H23" s="39"/>
      <c r="I23" s="226"/>
    </row>
    <row r="24" spans="1:9" x14ac:dyDescent="0.25">
      <c r="B24" s="231" t="s">
        <v>232</v>
      </c>
      <c r="C24" s="39"/>
      <c r="D24" s="39"/>
      <c r="E24" s="39"/>
      <c r="F24" s="39"/>
      <c r="G24" s="39"/>
      <c r="H24" s="39"/>
      <c r="I24" s="226"/>
    </row>
    <row r="25" spans="1:9" x14ac:dyDescent="0.25">
      <c r="B25" s="231" t="s">
        <v>235</v>
      </c>
      <c r="C25" s="39"/>
      <c r="D25" s="39"/>
      <c r="E25" s="39"/>
      <c r="F25" s="39"/>
      <c r="G25" s="39"/>
      <c r="H25" s="39"/>
      <c r="I25" s="226"/>
    </row>
    <row r="26" spans="1:9" x14ac:dyDescent="0.25">
      <c r="B26" s="231" t="s">
        <v>233</v>
      </c>
      <c r="C26" s="39"/>
      <c r="D26" s="39"/>
      <c r="E26" s="39"/>
      <c r="F26" s="39"/>
      <c r="G26" s="39"/>
      <c r="H26" s="39"/>
      <c r="I26" s="226"/>
    </row>
    <row r="27" spans="1:9" x14ac:dyDescent="0.25">
      <c r="B27" s="231" t="s">
        <v>234</v>
      </c>
      <c r="C27" s="39"/>
      <c r="D27" s="39"/>
      <c r="E27" s="39"/>
      <c r="F27" s="39"/>
      <c r="G27" s="39"/>
      <c r="H27" s="39"/>
      <c r="I27" s="226"/>
    </row>
    <row r="28" spans="1:9" x14ac:dyDescent="0.25">
      <c r="B28" s="229" t="s">
        <v>282</v>
      </c>
      <c r="C28" s="39"/>
      <c r="D28" s="39"/>
      <c r="E28" s="39"/>
      <c r="F28" s="39"/>
      <c r="G28" s="39" t="s">
        <v>112</v>
      </c>
      <c r="H28" s="39" t="s">
        <v>112</v>
      </c>
      <c r="I28" s="226" t="s">
        <v>112</v>
      </c>
    </row>
    <row r="29" spans="1:9" ht="16.5" customHeight="1" x14ac:dyDescent="0.25">
      <c r="B29" s="229" t="s">
        <v>294</v>
      </c>
      <c r="C29" s="39"/>
      <c r="D29" s="39"/>
      <c r="E29" s="39"/>
      <c r="F29" s="39"/>
      <c r="G29" s="39" t="s">
        <v>112</v>
      </c>
      <c r="H29" s="39" t="s">
        <v>112</v>
      </c>
      <c r="I29" s="226" t="s">
        <v>112</v>
      </c>
    </row>
    <row r="30" spans="1:9" ht="16.5" customHeight="1" x14ac:dyDescent="0.25">
      <c r="B30" s="229" t="s">
        <v>295</v>
      </c>
      <c r="C30" s="39"/>
      <c r="D30" s="39"/>
      <c r="E30" s="39"/>
      <c r="F30" s="39"/>
      <c r="G30" s="39" t="s">
        <v>112</v>
      </c>
      <c r="H30" s="39" t="s">
        <v>112</v>
      </c>
      <c r="I30" s="226" t="s">
        <v>112</v>
      </c>
    </row>
    <row r="31" spans="1:9" ht="16.5" customHeight="1" x14ac:dyDescent="0.25">
      <c r="B31" s="229" t="s">
        <v>296</v>
      </c>
      <c r="C31" s="39"/>
      <c r="D31" s="39"/>
      <c r="E31" s="39"/>
      <c r="F31" s="39"/>
      <c r="G31" s="39" t="s">
        <v>112</v>
      </c>
      <c r="H31" s="39" t="s">
        <v>112</v>
      </c>
      <c r="I31" s="226" t="s">
        <v>112</v>
      </c>
    </row>
    <row r="32" spans="1:9" x14ac:dyDescent="0.25">
      <c r="B32" s="229" t="s">
        <v>308</v>
      </c>
      <c r="C32" s="39"/>
      <c r="D32" s="39"/>
      <c r="E32" s="39"/>
      <c r="F32" s="39"/>
      <c r="G32" s="39" t="s">
        <v>112</v>
      </c>
      <c r="H32" s="39"/>
      <c r="I32" s="226"/>
    </row>
    <row r="33" spans="2:9" x14ac:dyDescent="0.25">
      <c r="B33" s="232" t="s">
        <v>309</v>
      </c>
      <c r="C33" s="39"/>
      <c r="D33" s="39"/>
      <c r="E33" s="39"/>
      <c r="F33" s="39"/>
      <c r="G33" s="39"/>
      <c r="H33" s="39"/>
      <c r="I33" s="226"/>
    </row>
    <row r="34" spans="2:9" ht="15.75" thickBot="1" x14ac:dyDescent="0.3">
      <c r="B34" s="233" t="s">
        <v>310</v>
      </c>
      <c r="C34" s="246"/>
      <c r="D34" s="246"/>
      <c r="E34" s="246"/>
      <c r="F34" s="246"/>
      <c r="G34" s="246"/>
      <c r="H34" s="246"/>
      <c r="I34" s="247"/>
    </row>
  </sheetData>
  <mergeCells count="1">
    <mergeCell ref="B2:B3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9EBFA-4C36-4C52-8E52-FA647253E219}">
  <dimension ref="A1:E3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57.85546875" customWidth="1"/>
    <col min="2" max="2" width="70.7109375" style="4" customWidth="1"/>
    <col min="3" max="3" width="75.28515625" style="4" customWidth="1"/>
    <col min="4" max="5" width="11.5703125" style="4"/>
  </cols>
  <sheetData>
    <row r="1" spans="1:3" x14ac:dyDescent="0.25">
      <c r="A1" t="s">
        <v>2</v>
      </c>
      <c r="B1" s="2">
        <v>45292</v>
      </c>
    </row>
    <row r="2" spans="1:3" x14ac:dyDescent="0.25">
      <c r="A2" t="s">
        <v>3</v>
      </c>
      <c r="B2" s="2">
        <f>_xll.qlSettingsSetEvaluationDate(B1)</f>
        <v>45292</v>
      </c>
    </row>
    <row r="4" spans="1:3" x14ac:dyDescent="0.25">
      <c r="A4" s="49" t="s">
        <v>316</v>
      </c>
      <c r="B4" s="46">
        <v>45292</v>
      </c>
      <c r="C4" s="187"/>
    </row>
    <row r="5" spans="1:3" x14ac:dyDescent="0.25">
      <c r="A5" s="54" t="s">
        <v>12</v>
      </c>
      <c r="B5" s="55" t="s">
        <v>13</v>
      </c>
      <c r="C5" s="188"/>
    </row>
    <row r="6" spans="1:3" x14ac:dyDescent="0.25">
      <c r="A6" s="189" t="s">
        <v>317</v>
      </c>
      <c r="B6" s="50">
        <v>1</v>
      </c>
      <c r="C6" s="188"/>
    </row>
    <row r="7" spans="1:3" x14ac:dyDescent="0.25">
      <c r="A7" s="189" t="s">
        <v>317</v>
      </c>
      <c r="B7" s="50">
        <v>1.02</v>
      </c>
      <c r="C7" s="187"/>
    </row>
    <row r="8" spans="1:3" x14ac:dyDescent="0.25">
      <c r="A8" s="189" t="s">
        <v>317</v>
      </c>
      <c r="B8" s="50">
        <v>1.01</v>
      </c>
      <c r="C8" s="187"/>
    </row>
    <row r="9" spans="1:3" x14ac:dyDescent="0.25">
      <c r="A9" s="189" t="s">
        <v>317</v>
      </c>
      <c r="B9" s="50">
        <v>1.03</v>
      </c>
      <c r="C9" s="187"/>
    </row>
    <row r="10" spans="1:3" x14ac:dyDescent="0.25">
      <c r="A10" s="47" t="s">
        <v>318</v>
      </c>
      <c r="B10" s="48" t="str">
        <f>_xll.qlMultiplicativePriceSeasonality(B4,B5,B6:B9)</f>
        <v>欣[test_inflation.xlsx]Seasonality!R10C2MultiplicativePriceSeasonality,A</v>
      </c>
      <c r="C10" s="187"/>
    </row>
    <row r="11" spans="1:3" x14ac:dyDescent="0.25">
      <c r="A11" s="190" t="s">
        <v>319</v>
      </c>
      <c r="B11" s="191">
        <f>_xll.qlMultiplicativePriceSeasonalitySeasonalityBaseDate(B10,B10)</f>
        <v>45292</v>
      </c>
      <c r="C11" s="187"/>
    </row>
    <row r="12" spans="1:3" x14ac:dyDescent="0.25">
      <c r="A12" s="235" t="s">
        <v>320</v>
      </c>
      <c r="B12" s="194" t="str">
        <f>_xll.qlMultiplicativePriceSeasonalityFrequency(B10,B10)</f>
        <v>QUARTERLY</v>
      </c>
      <c r="C12" s="187"/>
    </row>
    <row r="13" spans="1:3" x14ac:dyDescent="0.25">
      <c r="A13" s="234" t="s">
        <v>321</v>
      </c>
      <c r="B13" s="109">
        <f>_xll.qlMultiplicativePriceSeasonalityFactors(B10,B10)</f>
        <v>1</v>
      </c>
      <c r="C13" s="192"/>
    </row>
    <row r="14" spans="1:3" x14ac:dyDescent="0.25">
      <c r="A14" s="95"/>
      <c r="B14" s="223" t="s">
        <v>445</v>
      </c>
      <c r="C14" s="192"/>
    </row>
    <row r="15" spans="1:3" x14ac:dyDescent="0.25">
      <c r="A15" s="195" t="s">
        <v>14</v>
      </c>
      <c r="B15" s="55">
        <v>45292</v>
      </c>
      <c r="C15" s="193"/>
    </row>
    <row r="16" spans="1:3" x14ac:dyDescent="0.25">
      <c r="A16" s="47" t="s">
        <v>322</v>
      </c>
      <c r="B16" s="48">
        <f>_xll.qlMultiplicativePriceSeasonalityFactor(B10,B15,B10)</f>
        <v>1</v>
      </c>
    </row>
    <row r="19" spans="1:2" x14ac:dyDescent="0.25">
      <c r="A19" s="49" t="s">
        <v>316</v>
      </c>
      <c r="B19" s="46">
        <v>45292</v>
      </c>
    </row>
    <row r="20" spans="1:2" x14ac:dyDescent="0.25">
      <c r="A20" s="189" t="s">
        <v>317</v>
      </c>
      <c r="B20" s="50">
        <v>1</v>
      </c>
    </row>
    <row r="21" spans="1:2" x14ac:dyDescent="0.25">
      <c r="A21" s="189" t="s">
        <v>317</v>
      </c>
      <c r="B21" s="50">
        <v>1.02</v>
      </c>
    </row>
    <row r="22" spans="1:2" x14ac:dyDescent="0.25">
      <c r="A22" s="189" t="s">
        <v>317</v>
      </c>
      <c r="B22" s="50">
        <v>1.01</v>
      </c>
    </row>
    <row r="23" spans="1:2" x14ac:dyDescent="0.25">
      <c r="A23" s="189" t="s">
        <v>317</v>
      </c>
      <c r="B23" s="50">
        <v>1.03</v>
      </c>
    </row>
    <row r="24" spans="1:2" x14ac:dyDescent="0.25">
      <c r="A24" s="189" t="s">
        <v>317</v>
      </c>
      <c r="B24" s="50">
        <v>1</v>
      </c>
    </row>
    <row r="25" spans="1:2" x14ac:dyDescent="0.25">
      <c r="A25" s="189" t="s">
        <v>317</v>
      </c>
      <c r="B25" s="50">
        <v>1.02</v>
      </c>
    </row>
    <row r="26" spans="1:2" x14ac:dyDescent="0.25">
      <c r="A26" s="189" t="s">
        <v>317</v>
      </c>
      <c r="B26" s="50">
        <v>1.01</v>
      </c>
    </row>
    <row r="27" spans="1:2" x14ac:dyDescent="0.25">
      <c r="A27" s="189" t="s">
        <v>317</v>
      </c>
      <c r="B27" s="50">
        <v>1.03</v>
      </c>
    </row>
    <row r="28" spans="1:2" x14ac:dyDescent="0.25">
      <c r="A28" s="189" t="s">
        <v>317</v>
      </c>
      <c r="B28" s="50">
        <v>1</v>
      </c>
    </row>
    <row r="29" spans="1:2" x14ac:dyDescent="0.25">
      <c r="A29" s="189" t="s">
        <v>317</v>
      </c>
      <c r="B29" s="50">
        <v>1.02</v>
      </c>
    </row>
    <row r="30" spans="1:2" x14ac:dyDescent="0.25">
      <c r="A30" s="189" t="s">
        <v>317</v>
      </c>
      <c r="B30" s="50">
        <v>1.01</v>
      </c>
    </row>
    <row r="31" spans="1:2" x14ac:dyDescent="0.25">
      <c r="A31" s="189" t="s">
        <v>317</v>
      </c>
      <c r="B31" s="50">
        <v>1.03</v>
      </c>
    </row>
    <row r="32" spans="1:2" x14ac:dyDescent="0.25">
      <c r="A32" s="47" t="s">
        <v>323</v>
      </c>
      <c r="B32" s="48" t="str">
        <f>_xll.qlKerkhofSeasonality(B19,B20:B31)</f>
        <v>欣[test_inflation.xlsx]Seasonality!R32C2KerkhofSeasonality,A</v>
      </c>
    </row>
    <row r="33" spans="1:2" x14ac:dyDescent="0.25">
      <c r="A33" s="44" t="s">
        <v>319</v>
      </c>
      <c r="B33" s="43">
        <f>_xll.qlMultiplicativePriceSeasonalitySeasonalityBaseDate(B32,B32)</f>
        <v>45292</v>
      </c>
    </row>
    <row r="34" spans="1:2" x14ac:dyDescent="0.25">
      <c r="A34" s="235" t="s">
        <v>320</v>
      </c>
      <c r="B34" s="194" t="str">
        <f>_xll.qlMultiplicativePriceSeasonalityFrequency(B32,B32)</f>
        <v>MONTHLY</v>
      </c>
    </row>
    <row r="35" spans="1:2" x14ac:dyDescent="0.25">
      <c r="A35" s="234" t="s">
        <v>321</v>
      </c>
      <c r="B35" s="109">
        <f>_xll.qlMultiplicativePriceSeasonalityFactors(B32,B32)</f>
        <v>1</v>
      </c>
    </row>
    <row r="36" spans="1:2" x14ac:dyDescent="0.25">
      <c r="A36" s="95"/>
      <c r="B36" s="223" t="s">
        <v>446</v>
      </c>
    </row>
    <row r="37" spans="1:2" x14ac:dyDescent="0.25">
      <c r="A37" s="195" t="s">
        <v>14</v>
      </c>
      <c r="B37" s="55">
        <v>45292</v>
      </c>
    </row>
    <row r="38" spans="1:2" x14ac:dyDescent="0.25">
      <c r="A38" s="47" t="s">
        <v>322</v>
      </c>
      <c r="B38" s="48">
        <f>_xll.qlMultiplicativePriceSeasonalityFactor(B32,B37,B32)</f>
        <v>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E928C-F153-486F-B95B-56EF02AD9336}">
  <dimension ref="A1:E11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11.5703125" defaultRowHeight="15" x14ac:dyDescent="0.25"/>
  <cols>
    <col min="1" max="1" width="42.42578125" customWidth="1"/>
    <col min="2" max="2" width="70.7109375" style="4" customWidth="1"/>
    <col min="3" max="3" width="75.28515625" style="4" customWidth="1"/>
    <col min="4" max="5" width="11.5703125" style="4"/>
  </cols>
  <sheetData>
    <row r="1" spans="1:3" x14ac:dyDescent="0.25">
      <c r="A1" t="s">
        <v>2</v>
      </c>
      <c r="B1" s="2"/>
    </row>
    <row r="2" spans="1:3" x14ac:dyDescent="0.25">
      <c r="A2" t="s">
        <v>3</v>
      </c>
      <c r="B2" s="2"/>
    </row>
    <row r="4" spans="1:3" x14ac:dyDescent="0.25">
      <c r="A4" s="49" t="s">
        <v>324</v>
      </c>
      <c r="B4" s="46" t="s">
        <v>325</v>
      </c>
      <c r="C4" s="187"/>
    </row>
    <row r="5" spans="1:3" x14ac:dyDescent="0.25">
      <c r="A5" s="54" t="s">
        <v>326</v>
      </c>
      <c r="B5" s="55" t="s">
        <v>327</v>
      </c>
      <c r="C5" s="188"/>
    </row>
    <row r="6" spans="1:3" x14ac:dyDescent="0.25">
      <c r="A6" s="199" t="s">
        <v>328</v>
      </c>
      <c r="B6" s="56" t="str">
        <f>_xll.qlCustomRegion(B4,B5)</f>
        <v>欣[test_inflation.xlsx]Region!R6C2CustomRegion,A</v>
      </c>
      <c r="C6" s="188"/>
    </row>
    <row r="7" spans="1:3" x14ac:dyDescent="0.25">
      <c r="A7" s="200" t="s">
        <v>329</v>
      </c>
      <c r="B7" s="201" t="str">
        <f>_xll.qlRegionName(B6,B6)</f>
        <v>TestRegion</v>
      </c>
      <c r="C7" s="187"/>
    </row>
    <row r="8" spans="1:3" x14ac:dyDescent="0.25">
      <c r="A8" s="200" t="s">
        <v>330</v>
      </c>
      <c r="B8" s="201" t="str">
        <f>_xll.qlRegionCode(B6,B6)</f>
        <v>TR</v>
      </c>
      <c r="C8" s="187"/>
    </row>
    <row r="9" spans="1:3" x14ac:dyDescent="0.25">
      <c r="A9" s="202"/>
      <c r="B9" s="5"/>
      <c r="C9" s="187"/>
    </row>
    <row r="10" spans="1:3" x14ac:dyDescent="0.25">
      <c r="A10" s="1"/>
      <c r="C10" s="187"/>
    </row>
    <row r="11" spans="1:3" x14ac:dyDescent="0.25">
      <c r="A11" s="1"/>
      <c r="B11" s="2"/>
      <c r="C11" s="187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3023B-DB1A-403F-9DC8-E870BDC7F899}">
  <dimension ref="A1:D18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11.5703125" defaultRowHeight="15" x14ac:dyDescent="0.25"/>
  <cols>
    <col min="1" max="1" width="52.42578125" customWidth="1"/>
    <col min="2" max="2" width="87" style="4" customWidth="1"/>
    <col min="3" max="3" width="80.42578125" style="4" customWidth="1"/>
    <col min="4" max="4" width="11.5703125" style="4"/>
  </cols>
  <sheetData>
    <row r="1" spans="1:4" x14ac:dyDescent="0.25">
      <c r="A1" t="s">
        <v>2</v>
      </c>
      <c r="B1" s="2"/>
      <c r="C1" s="13"/>
      <c r="D1" s="17"/>
    </row>
    <row r="2" spans="1:4" x14ac:dyDescent="0.25">
      <c r="A2" t="s">
        <v>3</v>
      </c>
      <c r="B2" s="2"/>
      <c r="C2" s="11"/>
    </row>
    <row r="4" spans="1:4" x14ac:dyDescent="0.25">
      <c r="A4" s="49" t="s">
        <v>14</v>
      </c>
      <c r="B4" s="46">
        <v>45292</v>
      </c>
    </row>
    <row r="5" spans="1:4" x14ac:dyDescent="0.25">
      <c r="A5" s="54" t="s">
        <v>12</v>
      </c>
      <c r="B5" s="57" t="s">
        <v>16</v>
      </c>
    </row>
    <row r="6" spans="1:4" x14ac:dyDescent="0.25">
      <c r="A6" s="108" t="s">
        <v>331</v>
      </c>
      <c r="B6" s="55">
        <f>_xll.qlInflationPeriod(B4,B5)</f>
        <v>45292</v>
      </c>
    </row>
    <row r="7" spans="1:4" x14ac:dyDescent="0.25">
      <c r="A7" s="198"/>
      <c r="B7" s="236" t="s">
        <v>447</v>
      </c>
    </row>
    <row r="8" spans="1:4" x14ac:dyDescent="0.25">
      <c r="A8" s="203" t="s">
        <v>12</v>
      </c>
      <c r="B8" s="60" t="s">
        <v>16</v>
      </c>
    </row>
    <row r="9" spans="1:4" x14ac:dyDescent="0.25">
      <c r="A9" s="204" t="s">
        <v>106</v>
      </c>
      <c r="B9" s="61" t="b">
        <v>0</v>
      </c>
    </row>
    <row r="10" spans="1:4" x14ac:dyDescent="0.25">
      <c r="A10" s="204" t="s">
        <v>332</v>
      </c>
      <c r="B10" s="61" t="s">
        <v>52</v>
      </c>
    </row>
    <row r="11" spans="1:4" x14ac:dyDescent="0.25">
      <c r="A11" s="204" t="s">
        <v>333</v>
      </c>
      <c r="B11" s="62">
        <v>45292</v>
      </c>
    </row>
    <row r="12" spans="1:4" x14ac:dyDescent="0.25">
      <c r="A12" s="204" t="s">
        <v>334</v>
      </c>
      <c r="B12" s="62">
        <v>45658</v>
      </c>
    </row>
    <row r="13" spans="1:4" x14ac:dyDescent="0.25">
      <c r="A13" s="205" t="s">
        <v>335</v>
      </c>
      <c r="B13" s="63">
        <f>_xll.qlInflationYearFraction(B8,B9,B10,B11,B12)</f>
        <v>1.0027397260273974</v>
      </c>
    </row>
    <row r="14" spans="1:4" x14ac:dyDescent="0.25">
      <c r="A14" s="49" t="s">
        <v>30</v>
      </c>
      <c r="B14" s="46">
        <v>45292</v>
      </c>
    </row>
    <row r="15" spans="1:4" x14ac:dyDescent="0.25">
      <c r="A15" s="54" t="s">
        <v>54</v>
      </c>
      <c r="B15" s="57" t="s">
        <v>17</v>
      </c>
    </row>
    <row r="16" spans="1:4" x14ac:dyDescent="0.25">
      <c r="A16" s="54" t="s">
        <v>12</v>
      </c>
      <c r="B16" s="57" t="s">
        <v>16</v>
      </c>
    </row>
    <row r="17" spans="1:2" x14ac:dyDescent="0.25">
      <c r="A17" s="54" t="s">
        <v>106</v>
      </c>
      <c r="B17" s="57" t="b">
        <v>0</v>
      </c>
    </row>
    <row r="18" spans="1:2" x14ac:dyDescent="0.25">
      <c r="A18" s="47" t="s">
        <v>336</v>
      </c>
      <c r="B18" s="58">
        <f>_xll.qlInflationBaseDate(B14,B15,B16,B17)</f>
        <v>44927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5541C-59C5-4DA6-82E0-6772766D2CCF}">
  <dimension ref="A1:E58"/>
  <sheetViews>
    <sheetView workbookViewId="0">
      <pane xSplit="1" ySplit="2" topLeftCell="B3" activePane="bottomRight" state="frozen"/>
      <selection pane="topRight"/>
      <selection pane="bottomLeft"/>
      <selection pane="bottomRight" activeCell="B40" sqref="B40"/>
    </sheetView>
  </sheetViews>
  <sheetFormatPr baseColWidth="10" defaultColWidth="11.5703125" defaultRowHeight="15" x14ac:dyDescent="0.25"/>
  <cols>
    <col min="1" max="1" width="57.85546875" customWidth="1"/>
    <col min="2" max="3" width="77.42578125" style="4" bestFit="1" customWidth="1"/>
    <col min="4" max="5" width="11.5703125" style="4"/>
  </cols>
  <sheetData>
    <row r="1" spans="1:3" x14ac:dyDescent="0.25">
      <c r="A1" t="s">
        <v>2</v>
      </c>
      <c r="B1" s="2">
        <v>45301</v>
      </c>
    </row>
    <row r="2" spans="1:3" x14ac:dyDescent="0.25">
      <c r="A2" t="s">
        <v>3</v>
      </c>
      <c r="B2" s="2">
        <f>_xll.qlSettingsSetEvaluationDate(B1)</f>
        <v>45301</v>
      </c>
    </row>
    <row r="4" spans="1:3" x14ac:dyDescent="0.25">
      <c r="A4" s="49" t="s">
        <v>337</v>
      </c>
      <c r="B4" s="66" t="s">
        <v>338</v>
      </c>
      <c r="C4" s="46" t="s">
        <v>339</v>
      </c>
    </row>
    <row r="5" spans="1:3" x14ac:dyDescent="0.25">
      <c r="A5" s="54" t="s">
        <v>340</v>
      </c>
      <c r="B5" s="52" t="str">
        <f>_xll.qlCustomRegion("TestRegion","TR",$B$2)</f>
        <v>欣[test_inflation.xlsx]ZeroInflationIndex!R5C2CustomRegion,A</v>
      </c>
      <c r="C5" s="52" t="str">
        <f>_xll.qlCustomRegion("TestRegion","TR",$B$2)</f>
        <v>欣[test_inflation.xlsx]ZeroInflationIndex!R5C3CustomRegion,A</v>
      </c>
    </row>
    <row r="6" spans="1:3" x14ac:dyDescent="0.25">
      <c r="A6" s="67" t="s">
        <v>341</v>
      </c>
      <c r="B6" s="53" t="b">
        <v>0</v>
      </c>
      <c r="C6" s="50" t="b">
        <v>1</v>
      </c>
    </row>
    <row r="7" spans="1:3" x14ac:dyDescent="0.25">
      <c r="A7" s="67" t="s">
        <v>12</v>
      </c>
      <c r="B7" s="53" t="s">
        <v>16</v>
      </c>
      <c r="C7" s="50" t="s">
        <v>16</v>
      </c>
    </row>
    <row r="8" spans="1:3" x14ac:dyDescent="0.25">
      <c r="A8" s="67" t="s">
        <v>342</v>
      </c>
      <c r="B8" s="53" t="s">
        <v>17</v>
      </c>
      <c r="C8" s="50" t="s">
        <v>17</v>
      </c>
    </row>
    <row r="9" spans="1:3" x14ac:dyDescent="0.25">
      <c r="A9" s="67" t="s">
        <v>343</v>
      </c>
      <c r="B9" s="53" t="s">
        <v>344</v>
      </c>
      <c r="C9" s="50" t="s">
        <v>344</v>
      </c>
    </row>
    <row r="10" spans="1:3" x14ac:dyDescent="0.25">
      <c r="A10" s="64" t="s">
        <v>18</v>
      </c>
      <c r="B10" s="19"/>
      <c r="C10" s="46">
        <v>45292</v>
      </c>
    </row>
    <row r="11" spans="1:3" x14ac:dyDescent="0.25">
      <c r="A11" s="65" t="s">
        <v>18</v>
      </c>
      <c r="B11" s="22"/>
      <c r="C11" s="55">
        <v>45658</v>
      </c>
    </row>
    <row r="12" spans="1:3" x14ac:dyDescent="0.25">
      <c r="A12" s="65" t="s">
        <v>19</v>
      </c>
      <c r="B12" s="22"/>
      <c r="C12" s="57">
        <v>0.01</v>
      </c>
    </row>
    <row r="13" spans="1:3" x14ac:dyDescent="0.25">
      <c r="A13" s="65" t="s">
        <v>18</v>
      </c>
      <c r="B13" s="22"/>
      <c r="C13" s="57">
        <v>0.02</v>
      </c>
    </row>
    <row r="14" spans="1:3" x14ac:dyDescent="0.25">
      <c r="A14" s="206" t="s">
        <v>15</v>
      </c>
      <c r="B14" s="25"/>
      <c r="C14" s="207" t="str">
        <f>_xll.qlZeroInflationCurve(B1,C10:C11,C12:C13,"semiannual","act/360",,C5)</f>
        <v>欣[test_inflation.xlsx]ZeroInflationIndex!R14C3ZeroInflationTermStructureHandle,A</v>
      </c>
    </row>
    <row r="15" spans="1:3" x14ac:dyDescent="0.25">
      <c r="A15" s="47" t="s">
        <v>345</v>
      </c>
      <c r="B15" s="68" t="str">
        <f>_xll.qlZeroInflationIndex(B4,B5,B6,B7,B8,B9,,B5)</f>
        <v>欣[test_inflation.xlsx]ZeroInflationIndex!R15C2ZeroInflationIndex,A</v>
      </c>
      <c r="C15" s="58" t="str">
        <f>_xll.qlZeroInflationIndex(C4,C5,C6,C7,C8,C9,C14,C14)</f>
        <v>欣[test_inflation.xlsx]ZeroInflationIndex!R15C3ZeroInflationIndex,A</v>
      </c>
    </row>
    <row r="16" spans="1:3" x14ac:dyDescent="0.25">
      <c r="A16" s="69" t="s">
        <v>14</v>
      </c>
      <c r="B16" s="66">
        <v>44927</v>
      </c>
      <c r="C16" s="46">
        <v>44927</v>
      </c>
    </row>
    <row r="17" spans="1:3" x14ac:dyDescent="0.25">
      <c r="A17" s="70" t="s">
        <v>22</v>
      </c>
      <c r="B17" s="53">
        <v>0.02</v>
      </c>
      <c r="C17" s="50">
        <v>0.02</v>
      </c>
    </row>
    <row r="18" spans="1:3" x14ac:dyDescent="0.25">
      <c r="A18" s="208" t="s">
        <v>21</v>
      </c>
      <c r="B18" s="209" t="b">
        <f>_xll.qlIndexAddFixing(B15,B16,B17,,B15)</f>
        <v>1</v>
      </c>
      <c r="C18" s="209" t="b">
        <f>_xll.qlIndexAddFixing(C15,C16,C17,,C15)</f>
        <v>1</v>
      </c>
    </row>
    <row r="19" spans="1:3" x14ac:dyDescent="0.25">
      <c r="A19" s="72" t="s">
        <v>346</v>
      </c>
      <c r="B19" s="68">
        <f>_xll.qlZeroInflationIndexLastFixingDate(B15,B18)</f>
        <v>44927</v>
      </c>
      <c r="C19" s="68">
        <f>_xll.qlZeroInflationIndexLastFixingDate(C15,C18)</f>
        <v>44927</v>
      </c>
    </row>
    <row r="20" spans="1:3" x14ac:dyDescent="0.25">
      <c r="A20" s="73" t="s">
        <v>347</v>
      </c>
      <c r="B20" s="74" t="str">
        <f>_xll.qlZeroInflationIndexZeroInflationTermStructure(B15,B15)</f>
        <v>欣[test_inflation.xlsx]ZeroInflationIndex!R20C2ZeroInflationTermStructureHandle,A</v>
      </c>
      <c r="C20" s="74" t="str">
        <f>_xll.qlZeroInflationIndexZeroInflationTermStructure(C15,C15)</f>
        <v>欣[test_inflation.xlsx]ZeroInflationIndex!R20C3ZeroInflationTermStructureHandle,A</v>
      </c>
    </row>
    <row r="21" spans="1:3" x14ac:dyDescent="0.25">
      <c r="A21" s="64" t="s">
        <v>18</v>
      </c>
      <c r="B21" s="66">
        <v>45292</v>
      </c>
      <c r="C21" s="66">
        <v>45292</v>
      </c>
    </row>
    <row r="22" spans="1:3" x14ac:dyDescent="0.25">
      <c r="A22" s="65" t="s">
        <v>18</v>
      </c>
      <c r="B22" s="52">
        <v>45658</v>
      </c>
      <c r="C22" s="52">
        <v>45658</v>
      </c>
    </row>
    <row r="23" spans="1:3" x14ac:dyDescent="0.25">
      <c r="A23" s="65" t="s">
        <v>19</v>
      </c>
      <c r="B23" s="22">
        <v>0.01</v>
      </c>
      <c r="C23" s="22">
        <v>0.01</v>
      </c>
    </row>
    <row r="24" spans="1:3" x14ac:dyDescent="0.25">
      <c r="A24" s="65" t="s">
        <v>18</v>
      </c>
      <c r="B24" s="22">
        <v>0.02</v>
      </c>
      <c r="C24" s="22">
        <v>0.02</v>
      </c>
    </row>
    <row r="25" spans="1:3" x14ac:dyDescent="0.25">
      <c r="A25" s="76" t="s">
        <v>20</v>
      </c>
      <c r="B25" s="210" t="str">
        <f>_xll.qlZeroInflationCurve($B$1,B21:B22,B23:B24,"semiannual","act/360",,B15)</f>
        <v>欣[test_inflation.xlsx]ZeroInflationIndex!R25C2ZeroInflationTermStructureHandle,A</v>
      </c>
      <c r="C25" s="210" t="str">
        <f>_xll.qlZeroInflationCurve($B$1,C21:C22,C23:C24,"semiannual","act/360",,C15)</f>
        <v>欣[test_inflation.xlsx]ZeroInflationIndex!R25C3ZeroInflationTermStructureHandle,A</v>
      </c>
    </row>
    <row r="26" spans="1:3" x14ac:dyDescent="0.25">
      <c r="A26" s="211" t="s">
        <v>348</v>
      </c>
      <c r="B26" s="45" t="str">
        <f>_xll.qlZeroInflationIndexClone(B15,B25,B25)</f>
        <v>欣[test_inflation.xlsx]ZeroInflationIndex!R26C2ZeroInflationIndex,A</v>
      </c>
      <c r="C26" s="45" t="str">
        <f>_xll.qlZeroInflationIndexClone(C15,C25,C25)</f>
        <v>欣[test_inflation.xlsx]ZeroInflationIndex!R26C3ZeroInflationIndex,A</v>
      </c>
    </row>
    <row r="27" spans="1:3" x14ac:dyDescent="0.25">
      <c r="A27" s="44" t="s">
        <v>349</v>
      </c>
      <c r="B27" s="45" t="b">
        <f>_xll.qlZeroInflationIndexNeedsForecast(B15,B1,B15)</f>
        <v>1</v>
      </c>
      <c r="C27" s="45" t="b">
        <f>_xll.qlZeroInflationIndexNeedsForecast(C15,B1,C15)</f>
        <v>1</v>
      </c>
    </row>
    <row r="28" spans="1:3" x14ac:dyDescent="0.25">
      <c r="A28" s="44" t="s">
        <v>350</v>
      </c>
      <c r="B28" s="45" t="str">
        <f>_xll.qlInflationIndexFamilyName(B15,B15)</f>
        <v>ZeroIndex</v>
      </c>
      <c r="C28" s="45" t="str">
        <f>_xll.qlInflationIndexFamilyName(C15,C15)</f>
        <v>ZeroIndex2</v>
      </c>
    </row>
    <row r="29" spans="1:3" x14ac:dyDescent="0.25">
      <c r="A29" s="44" t="s">
        <v>351</v>
      </c>
      <c r="B29" s="45" t="str">
        <f>_xll.qlInflationIndexRegion(B15,B15)</f>
        <v>欣[test_inflation.xlsx]ZeroInflationIndex!R29C2Region,A</v>
      </c>
      <c r="C29" s="45" t="str">
        <f>_xll.qlInflationIndexRegion(C15,C15)</f>
        <v>欣[test_inflation.xlsx]ZeroInflationIndex!R29C3Region,A</v>
      </c>
    </row>
    <row r="30" spans="1:3" x14ac:dyDescent="0.25">
      <c r="A30" s="44" t="s">
        <v>352</v>
      </c>
      <c r="B30" s="45" t="b">
        <f>_xll.qlInflationIndexRevised(B15,B15)</f>
        <v>0</v>
      </c>
      <c r="C30" s="45" t="b">
        <f>_xll.qlInflationIndexRevised(C15,C15)</f>
        <v>1</v>
      </c>
    </row>
    <row r="31" spans="1:3" x14ac:dyDescent="0.25">
      <c r="A31" s="78" t="s">
        <v>353</v>
      </c>
      <c r="B31" s="45" t="str">
        <f>_xll.qlInflationIndexFrequency(B15,B15)</f>
        <v>ANNUAL</v>
      </c>
      <c r="C31" s="45" t="str">
        <f>_xll.qlInflationIndexFrequency(C15,C15)</f>
        <v>ANNUAL</v>
      </c>
    </row>
    <row r="32" spans="1:3" x14ac:dyDescent="0.25">
      <c r="A32" s="44" t="s">
        <v>354</v>
      </c>
      <c r="B32" s="45" t="str">
        <f>_xll.qlInflationIndexAvailabilityLag(B15,B15)</f>
        <v>3M</v>
      </c>
      <c r="C32" s="45" t="str">
        <f>_xll.qlInflationIndexAvailabilityLag(C15,C15)</f>
        <v>3M</v>
      </c>
    </row>
    <row r="33" spans="1:3" x14ac:dyDescent="0.25">
      <c r="A33" s="44" t="s">
        <v>355</v>
      </c>
      <c r="B33" s="45" t="str">
        <f>_xll.qlInflationIndexCurrency(B15,B15)</f>
        <v>欣[test_inflation.xlsx]ZeroInflationIndex!R33C2Currency,A</v>
      </c>
      <c r="C33" s="45" t="str">
        <f>_xll.qlInflationIndexCurrency(C15,C15)</f>
        <v>欣[test_inflation.xlsx]ZeroInflationIndex!R33C3Currency,A</v>
      </c>
    </row>
    <row r="34" spans="1:3" x14ac:dyDescent="0.25">
      <c r="A34" s="1"/>
    </row>
    <row r="35" spans="1:3" x14ac:dyDescent="0.25">
      <c r="A35" s="1"/>
    </row>
    <row r="36" spans="1:3" x14ac:dyDescent="0.25">
      <c r="A36" s="64" t="s">
        <v>18</v>
      </c>
      <c r="B36" s="46">
        <v>45292</v>
      </c>
    </row>
    <row r="37" spans="1:3" x14ac:dyDescent="0.25">
      <c r="A37" s="65" t="s">
        <v>18</v>
      </c>
      <c r="B37" s="55">
        <v>45658</v>
      </c>
    </row>
    <row r="38" spans="1:3" x14ac:dyDescent="0.25">
      <c r="A38" s="65" t="s">
        <v>19</v>
      </c>
      <c r="B38" s="57">
        <v>0.01</v>
      </c>
    </row>
    <row r="39" spans="1:3" x14ac:dyDescent="0.25">
      <c r="A39" s="65" t="s">
        <v>19</v>
      </c>
      <c r="B39" s="57">
        <v>0.02</v>
      </c>
    </row>
    <row r="40" spans="1:3" x14ac:dyDescent="0.25">
      <c r="A40" s="76" t="s">
        <v>15</v>
      </c>
      <c r="B40" s="63" t="str">
        <f>_xll.qlZeroInflationCurve(B1,B36:B37,B38:B39,"semiannual","act/360",,B2)</f>
        <v>欣[test_inflation.xlsx]ZeroInflationIndex!R40C2ZeroInflationTermStructureHandle,A</v>
      </c>
    </row>
    <row r="41" spans="1:3" x14ac:dyDescent="0.25">
      <c r="A41" s="70" t="s">
        <v>12</v>
      </c>
      <c r="B41" s="57" t="s">
        <v>16</v>
      </c>
    </row>
    <row r="42" spans="1:3" x14ac:dyDescent="0.25">
      <c r="A42" s="70" t="s">
        <v>356</v>
      </c>
      <c r="B42" s="57" t="b">
        <v>1</v>
      </c>
    </row>
    <row r="43" spans="1:3" x14ac:dyDescent="0.25">
      <c r="A43" s="59" t="s">
        <v>357</v>
      </c>
      <c r="B43" s="57" t="str">
        <f>_xll.qlAUCPI(B41,B42)</f>
        <v>欣[test_inflation.xlsx]ZeroInflationIndex!R43C2AUCPI,A</v>
      </c>
    </row>
    <row r="44" spans="1:3" x14ac:dyDescent="0.25">
      <c r="A44" s="47" t="s">
        <v>358</v>
      </c>
      <c r="B44" s="48" t="str">
        <f>_xll.qlAUCPI(B41,B42,B40,B40)</f>
        <v>欣[test_inflation.xlsx]ZeroInflationIndex!R44C2AUCPI,A</v>
      </c>
    </row>
    <row r="45" spans="1:3" x14ac:dyDescent="0.25">
      <c r="A45" s="44" t="s">
        <v>359</v>
      </c>
      <c r="B45" s="45" t="str">
        <f>_xll.qlEUHICP()</f>
        <v>欣[test_inflation.xlsx]ZeroInflationIndex!R45C2EUHICP,A</v>
      </c>
    </row>
    <row r="46" spans="1:3" x14ac:dyDescent="0.25">
      <c r="A46" s="44" t="s">
        <v>360</v>
      </c>
      <c r="B46" s="45" t="str">
        <f>_xll.qlEUHICP(B40,B40)</f>
        <v>欣[test_inflation.xlsx]ZeroInflationIndex!R46C2EUHICP,A</v>
      </c>
    </row>
    <row r="47" spans="1:3" x14ac:dyDescent="0.25">
      <c r="A47" s="44" t="s">
        <v>361</v>
      </c>
      <c r="B47" s="45" t="str">
        <f>_xll.qlEUHICPXT()</f>
        <v>欣[test_inflation.xlsx]ZeroInflationIndex!R47C2EUHICPXT,A</v>
      </c>
    </row>
    <row r="48" spans="1:3" x14ac:dyDescent="0.25">
      <c r="A48" s="44" t="s">
        <v>362</v>
      </c>
      <c r="B48" s="45" t="str">
        <f>_xll.qlEUHICPXT(B40,B40)</f>
        <v>欣[test_inflation.xlsx]ZeroInflationIndex!R48C2EUHICPXT,A</v>
      </c>
    </row>
    <row r="49" spans="1:2" x14ac:dyDescent="0.25">
      <c r="A49" s="44" t="s">
        <v>363</v>
      </c>
      <c r="B49" s="45" t="str">
        <f>_xll.qlFRHICP()</f>
        <v>欣[test_inflation.xlsx]ZeroInflationIndex!R49C2FRHICP,A</v>
      </c>
    </row>
    <row r="50" spans="1:2" x14ac:dyDescent="0.25">
      <c r="A50" s="44" t="s">
        <v>364</v>
      </c>
      <c r="B50" s="45" t="str">
        <f>_xll.qlFRHICP(B40,B40)</f>
        <v>欣[test_inflation.xlsx]ZeroInflationIndex!R50C2FRHICP,A</v>
      </c>
    </row>
    <row r="51" spans="1:2" x14ac:dyDescent="0.25">
      <c r="A51" s="44" t="s">
        <v>365</v>
      </c>
      <c r="B51" s="45" t="str">
        <f>_xll.qlUKRPI()</f>
        <v>欣[test_inflation.xlsx]ZeroInflationIndex!R51C2UKRPI,A</v>
      </c>
    </row>
    <row r="52" spans="1:2" x14ac:dyDescent="0.25">
      <c r="A52" s="44" t="s">
        <v>366</v>
      </c>
      <c r="B52" s="45" t="str">
        <f>_xll.qlUKRPI(B40,B40)</f>
        <v>欣[test_inflation.xlsx]ZeroInflationIndex!R52C2UKRPI,A</v>
      </c>
    </row>
    <row r="53" spans="1:2" x14ac:dyDescent="0.25">
      <c r="A53" s="44" t="s">
        <v>367</v>
      </c>
      <c r="B53" s="45" t="str">
        <f>_xll.qlUKHICP()</f>
        <v>欣[test_inflation.xlsx]ZeroInflationIndex!R53C2UKHICP,A</v>
      </c>
    </row>
    <row r="54" spans="1:2" x14ac:dyDescent="0.25">
      <c r="A54" s="44" t="s">
        <v>368</v>
      </c>
      <c r="B54" s="45" t="str">
        <f>_xll.qlUKHICP(B40,B40)</f>
        <v>欣[test_inflation.xlsx]ZeroInflationIndex!R54C2UKHICP,A</v>
      </c>
    </row>
    <row r="55" spans="1:2" x14ac:dyDescent="0.25">
      <c r="A55" s="44" t="s">
        <v>369</v>
      </c>
      <c r="B55" s="45" t="str">
        <f>_xll.qlUSCPI()</f>
        <v>欣[test_inflation.xlsx]ZeroInflationIndex!R55C2USCPI,A</v>
      </c>
    </row>
    <row r="56" spans="1:2" x14ac:dyDescent="0.25">
      <c r="A56" s="44" t="s">
        <v>370</v>
      </c>
      <c r="B56" s="45" t="str">
        <f>_xll.qlUSCPI(B40,B40)</f>
        <v>欣[test_inflation.xlsx]ZeroInflationIndex!R56C2USCPI,A</v>
      </c>
    </row>
    <row r="57" spans="1:2" x14ac:dyDescent="0.25">
      <c r="A57" s="44" t="s">
        <v>371</v>
      </c>
      <c r="B57" s="45" t="str">
        <f>_xll.qlZACPI()</f>
        <v>欣[test_inflation.xlsx]ZeroInflationIndex!R57C2ZACPI,A</v>
      </c>
    </row>
    <row r="58" spans="1:2" x14ac:dyDescent="0.25">
      <c r="A58" s="44" t="s">
        <v>372</v>
      </c>
      <c r="B58" s="45" t="str">
        <f>_xll.qlZACPI(B40,B40)</f>
        <v>欣[test_inflation.xlsx]ZeroInflationIndex!R58C2ZACPI,A</v>
      </c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DD5B5-5D18-40D8-B5BB-B68A83566165}">
  <dimension ref="A1:E68"/>
  <sheetViews>
    <sheetView workbookViewId="0">
      <pane xSplit="1" ySplit="3" topLeftCell="B7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57.85546875" customWidth="1"/>
    <col min="2" max="2" width="77.28515625" style="4" customWidth="1"/>
    <col min="3" max="3" width="75.28515625" style="4" customWidth="1"/>
    <col min="4" max="5" width="11.5703125" style="4"/>
  </cols>
  <sheetData>
    <row r="1" spans="1:3" x14ac:dyDescent="0.25">
      <c r="A1" t="s">
        <v>2</v>
      </c>
      <c r="B1" s="2">
        <v>45301</v>
      </c>
    </row>
    <row r="2" spans="1:3" x14ac:dyDescent="0.25">
      <c r="A2" t="s">
        <v>3</v>
      </c>
      <c r="B2" s="2">
        <f>_xll.qlSettingsSetEvaluationDate(B1)</f>
        <v>45301</v>
      </c>
    </row>
    <row r="4" spans="1:3" x14ac:dyDescent="0.25">
      <c r="A4" s="49" t="s">
        <v>337</v>
      </c>
      <c r="B4" s="66" t="s">
        <v>373</v>
      </c>
      <c r="C4" s="46" t="s">
        <v>374</v>
      </c>
    </row>
    <row r="5" spans="1:3" x14ac:dyDescent="0.25">
      <c r="A5" s="54" t="s">
        <v>340</v>
      </c>
      <c r="B5" s="52" t="str">
        <f>_xll.qlCustomRegion("TestRegion","TR",B2)</f>
        <v>欣[test_inflation.xlsx]YoYInflationIndex!R5C2CustomRegion,A</v>
      </c>
      <c r="C5" s="55" t="str">
        <f>_xll.qlCustomRegion("TestRegion2","TR2",B2)</f>
        <v>欣[test_inflation.xlsx]YoYInflationIndex!R5C3CustomRegion,A</v>
      </c>
    </row>
    <row r="6" spans="1:3" x14ac:dyDescent="0.25">
      <c r="A6" s="67" t="s">
        <v>341</v>
      </c>
      <c r="B6" s="53" t="b">
        <v>1</v>
      </c>
      <c r="C6" s="50" t="b">
        <v>1</v>
      </c>
    </row>
    <row r="7" spans="1:3" x14ac:dyDescent="0.25">
      <c r="A7" s="67" t="s">
        <v>12</v>
      </c>
      <c r="B7" s="53" t="s">
        <v>16</v>
      </c>
      <c r="C7" s="50" t="s">
        <v>16</v>
      </c>
    </row>
    <row r="8" spans="1:3" x14ac:dyDescent="0.25">
      <c r="A8" s="67" t="s">
        <v>342</v>
      </c>
      <c r="B8" s="53" t="s">
        <v>17</v>
      </c>
      <c r="C8" s="50" t="s">
        <v>17</v>
      </c>
    </row>
    <row r="9" spans="1:3" x14ac:dyDescent="0.25">
      <c r="A9" s="67" t="s">
        <v>343</v>
      </c>
      <c r="B9" s="53" t="s">
        <v>344</v>
      </c>
      <c r="C9" s="50" t="s">
        <v>344</v>
      </c>
    </row>
    <row r="10" spans="1:3" x14ac:dyDescent="0.25">
      <c r="A10" s="64" t="s">
        <v>18</v>
      </c>
      <c r="B10" s="19"/>
      <c r="C10" s="46">
        <v>45292</v>
      </c>
    </row>
    <row r="11" spans="1:3" x14ac:dyDescent="0.25">
      <c r="A11" s="65" t="s">
        <v>18</v>
      </c>
      <c r="B11" s="22"/>
      <c r="C11" s="55">
        <v>45658</v>
      </c>
    </row>
    <row r="12" spans="1:3" x14ac:dyDescent="0.25">
      <c r="A12" s="65" t="s">
        <v>19</v>
      </c>
      <c r="B12" s="22"/>
      <c r="C12" s="57">
        <v>0.01</v>
      </c>
    </row>
    <row r="13" spans="1:3" s="4" customFormat="1" x14ac:dyDescent="0.25">
      <c r="A13" s="65" t="s">
        <v>19</v>
      </c>
      <c r="B13" s="22"/>
      <c r="C13" s="57">
        <v>0.02</v>
      </c>
    </row>
    <row r="14" spans="1:3" s="4" customFormat="1" x14ac:dyDescent="0.25">
      <c r="A14" s="212" t="s">
        <v>24</v>
      </c>
      <c r="B14" s="25"/>
      <c r="C14" s="63" t="str">
        <f>_xll.qlYoYInflationCurve(B1,C10:C11,C12:C13,"semiannual","act/360",,C5)</f>
        <v>欣[test_inflation.xlsx]YoYInflationIndex!R14C3YoYInflationTermStructureHandle,A</v>
      </c>
    </row>
    <row r="15" spans="1:3" s="4" customFormat="1" x14ac:dyDescent="0.25">
      <c r="A15" s="213" t="s">
        <v>375</v>
      </c>
      <c r="B15" s="22"/>
      <c r="C15" s="61" t="b">
        <v>1</v>
      </c>
    </row>
    <row r="16" spans="1:3" s="4" customFormat="1" x14ac:dyDescent="0.25">
      <c r="A16" s="47" t="s">
        <v>376</v>
      </c>
      <c r="B16" s="68" t="str">
        <f>_xll.qlYoYInflationIndex2(B4,B5,B6,B7,B8,B9,,,B5)</f>
        <v>欣[test_inflation.xlsx]YoYInflationIndex!R16C2YoYInflationIndex,A</v>
      </c>
      <c r="C16" s="58" t="str">
        <f>_xll.qlYoYInflationIndex2(C4,C5,C6,C7,C8,C9,C14,C15,C14)</f>
        <v>欣[test_inflation.xlsx]YoYInflationIndex!R16C3YoYInflationIndex,A</v>
      </c>
    </row>
    <row r="17" spans="1:3" s="4" customFormat="1" x14ac:dyDescent="0.25">
      <c r="A17" s="69" t="s">
        <v>14</v>
      </c>
      <c r="B17" s="66">
        <v>44927</v>
      </c>
      <c r="C17" s="46">
        <v>44927</v>
      </c>
    </row>
    <row r="18" spans="1:3" s="4" customFormat="1" x14ac:dyDescent="0.25">
      <c r="A18" s="70" t="s">
        <v>22</v>
      </c>
      <c r="B18" s="53">
        <v>0.02</v>
      </c>
      <c r="C18" s="50">
        <v>0.02</v>
      </c>
    </row>
    <row r="19" spans="1:3" s="4" customFormat="1" x14ac:dyDescent="0.25">
      <c r="A19" s="79" t="s">
        <v>21</v>
      </c>
      <c r="B19" s="80" t="b">
        <f>_xll.qlIndexAddFixing(B16,B17,B18,,B16)</f>
        <v>1</v>
      </c>
      <c r="C19" s="81" t="b">
        <f>_xll.qlIndexAddFixing(C16,C17,C18,,C16)</f>
        <v>1</v>
      </c>
    </row>
    <row r="20" spans="1:3" s="4" customFormat="1" x14ac:dyDescent="0.25">
      <c r="A20" s="72" t="s">
        <v>377</v>
      </c>
      <c r="B20" s="68">
        <f>_xll.qlYoYInflationIndexLastFixingDate(B16,B19)</f>
        <v>44927</v>
      </c>
      <c r="C20" s="58">
        <f>_xll.qlYoYInflationIndexLastFixingDate(C16,C19)</f>
        <v>44927</v>
      </c>
    </row>
    <row r="21" spans="1:3" s="4" customFormat="1" x14ac:dyDescent="0.25">
      <c r="A21" s="78" t="s">
        <v>378</v>
      </c>
      <c r="B21" s="43" t="b">
        <f>_xll.qlYoYInflationIndexRatio(B16,B16)</f>
        <v>0</v>
      </c>
      <c r="C21" s="43" t="b">
        <f>_xll.qlYoYInflationIndexRatio(C16,C16)</f>
        <v>0</v>
      </c>
    </row>
    <row r="22" spans="1:3" s="4" customFormat="1" x14ac:dyDescent="0.25">
      <c r="A22" s="78" t="s">
        <v>379</v>
      </c>
      <c r="B22" s="43" t="b">
        <f>_xll.qlYoYInflationIndexInterpolated(B16,B16)</f>
        <v>0</v>
      </c>
      <c r="C22" s="43" t="b">
        <f>_xll.qlYoYInflationIndexInterpolated(C16,C16)</f>
        <v>1</v>
      </c>
    </row>
    <row r="23" spans="1:3" s="4" customFormat="1" x14ac:dyDescent="0.25">
      <c r="A23" s="44" t="s">
        <v>380</v>
      </c>
      <c r="B23" s="45" t="str">
        <f>_xll.qlYoYInflationIndexYoYInflationTermStructure(B16,B16)</f>
        <v>欣[test_inflation.xlsx]YoYInflationIndex!R23C2YoYInflationTermStructureHandle,A</v>
      </c>
      <c r="C23" s="45" t="str">
        <f>_xll.qlYoYInflationIndexYoYInflationTermStructure(C16,C16)</f>
        <v>欣[test_inflation.xlsx]YoYInflationIndex!R23C3YoYInflationTermStructureHandle,A</v>
      </c>
    </row>
    <row r="24" spans="1:3" s="4" customFormat="1" x14ac:dyDescent="0.25">
      <c r="A24" s="214" t="s">
        <v>18</v>
      </c>
      <c r="B24" s="43">
        <v>45292</v>
      </c>
      <c r="C24" s="43">
        <v>45292</v>
      </c>
    </row>
    <row r="25" spans="1:3" s="4" customFormat="1" x14ac:dyDescent="0.25">
      <c r="A25" s="214" t="s">
        <v>18</v>
      </c>
      <c r="B25" s="43">
        <v>45658</v>
      </c>
      <c r="C25" s="43">
        <v>45658</v>
      </c>
    </row>
    <row r="26" spans="1:3" s="4" customFormat="1" x14ac:dyDescent="0.25">
      <c r="A26" s="214" t="s">
        <v>19</v>
      </c>
      <c r="B26" s="45">
        <v>0.01</v>
      </c>
      <c r="C26" s="45">
        <v>0.01</v>
      </c>
    </row>
    <row r="27" spans="1:3" s="4" customFormat="1" x14ac:dyDescent="0.25">
      <c r="A27" s="214" t="s">
        <v>19</v>
      </c>
      <c r="B27" s="45">
        <v>0.02</v>
      </c>
      <c r="C27" s="45">
        <v>0.02</v>
      </c>
    </row>
    <row r="28" spans="1:3" s="4" customFormat="1" x14ac:dyDescent="0.25">
      <c r="A28" s="214" t="s">
        <v>23</v>
      </c>
      <c r="B28" s="45" t="str">
        <f>_xll.qlYoYInflationCurve(B1,B24:B25,B26:B27,"semiannual","act/360",,B23)</f>
        <v>欣[test_inflation.xlsx]YoYInflationIndex!R28C2YoYInflationTermStructureHandle,A</v>
      </c>
      <c r="C28" s="45" t="str">
        <f>_xll.qlYoYInflationCurve(C1,C24:C25,C26:C27,"semiannual","act/360",,C23)</f>
        <v>欣[test_inflation.xlsx]YoYInflationIndex!R28C3YoYInflationTermStructureHandle,A</v>
      </c>
    </row>
    <row r="29" spans="1:3" s="4" customFormat="1" x14ac:dyDescent="0.25">
      <c r="A29" s="211" t="s">
        <v>381</v>
      </c>
      <c r="B29" s="45" t="str">
        <f>_xll.qlYoYInflationIndexClone(B16,B28,B28)</f>
        <v>欣[test_inflation.xlsx]YoYInflationIndex!R29C2YoYInflationIndex,A</v>
      </c>
      <c r="C29" s="45" t="str">
        <f>_xll.qlYoYInflationIndexClone(C16,C28,C28)</f>
        <v>欣[test_inflation.xlsx]YoYInflationIndex!R29C3YoYInflationIndex,A</v>
      </c>
    </row>
    <row r="30" spans="1:3" s="4" customFormat="1" x14ac:dyDescent="0.25">
      <c r="A30" s="44" t="s">
        <v>382</v>
      </c>
      <c r="B30" s="45" t="b">
        <f>_xll.qlYoYInflationIndexNeedsForecast(B16,B1,B16)</f>
        <v>1</v>
      </c>
      <c r="C30" s="45" t="b">
        <f>_xll.qlYoYInflationIndexNeedsForecast(C16,B1,C16)</f>
        <v>1</v>
      </c>
    </row>
    <row r="31" spans="1:3" s="4" customFormat="1" x14ac:dyDescent="0.25">
      <c r="A31" s="44" t="s">
        <v>350</v>
      </c>
      <c r="B31" s="45" t="str">
        <f>_xll.qlInflationIndexFamilyName(B16,B16)</f>
        <v>YoYIndex</v>
      </c>
      <c r="C31" s="45" t="str">
        <f>_xll.qlInflationIndexFamilyName(C16,C16)</f>
        <v>YoYIndex2</v>
      </c>
    </row>
    <row r="32" spans="1:3" s="4" customFormat="1" x14ac:dyDescent="0.25">
      <c r="A32" s="44" t="s">
        <v>351</v>
      </c>
      <c r="B32" s="45" t="str">
        <f>_xll.qlInflationIndexRegion(B16,B16)</f>
        <v>欣[test_inflation.xlsx]YoYInflationIndex!R32C2Region,A</v>
      </c>
      <c r="C32" s="45" t="str">
        <f>_xll.qlInflationIndexRegion(C16,C16)</f>
        <v>欣[test_inflation.xlsx]YoYInflationIndex!R32C3Region,A</v>
      </c>
    </row>
    <row r="33" spans="1:3" s="4" customFormat="1" x14ac:dyDescent="0.25">
      <c r="A33" s="44" t="s">
        <v>352</v>
      </c>
      <c r="B33" s="45" t="b">
        <f>_xll.qlInflationIndexRevised(B16,B16)</f>
        <v>1</v>
      </c>
      <c r="C33" s="45" t="b">
        <f>_xll.qlInflationIndexRevised(C16,C16)</f>
        <v>1</v>
      </c>
    </row>
    <row r="34" spans="1:3" s="4" customFormat="1" x14ac:dyDescent="0.25">
      <c r="A34" s="78" t="s">
        <v>353</v>
      </c>
      <c r="B34" s="45" t="str">
        <f>_xll.qlInflationIndexFrequency(B16,B16)</f>
        <v>ANNUAL</v>
      </c>
      <c r="C34" s="45" t="str">
        <f>_xll.qlInflationIndexFrequency(C16,C16)</f>
        <v>ANNUAL</v>
      </c>
    </row>
    <row r="35" spans="1:3" s="4" customFormat="1" x14ac:dyDescent="0.25">
      <c r="A35" s="44" t="s">
        <v>354</v>
      </c>
      <c r="B35" s="45" t="str">
        <f>_xll.qlInflationIndexAvailabilityLag(B16,B16)</f>
        <v>3M</v>
      </c>
      <c r="C35" s="45" t="str">
        <f>_xll.qlInflationIndexAvailabilityLag(C16,C16)</f>
        <v>3M</v>
      </c>
    </row>
    <row r="36" spans="1:3" s="4" customFormat="1" x14ac:dyDescent="0.25">
      <c r="A36" s="44" t="s">
        <v>355</v>
      </c>
      <c r="B36" s="45" t="str">
        <f>_xll.qlInflationIndexCurrency(B16,B16)</f>
        <v>欣[test_inflation.xlsx]YoYInflationIndex!R36C2Currency,A</v>
      </c>
      <c r="C36" s="45" t="str">
        <f>_xll.qlInflationIndexCurrency(C16,C16)</f>
        <v>欣[test_inflation.xlsx]YoYInflationIndex!R36C3Currency,A</v>
      </c>
    </row>
    <row r="37" spans="1:3" s="4" customFormat="1" x14ac:dyDescent="0.25">
      <c r="A37" s="1"/>
    </row>
    <row r="38" spans="1:3" s="4" customFormat="1" x14ac:dyDescent="0.25">
      <c r="A38" s="1"/>
    </row>
    <row r="39" spans="1:3" s="4" customFormat="1" x14ac:dyDescent="0.25">
      <c r="A39" s="64" t="s">
        <v>18</v>
      </c>
      <c r="B39" s="46">
        <v>45292</v>
      </c>
    </row>
    <row r="40" spans="1:3" s="4" customFormat="1" x14ac:dyDescent="0.25">
      <c r="A40" s="65" t="s">
        <v>18</v>
      </c>
      <c r="B40" s="55">
        <v>45658</v>
      </c>
    </row>
    <row r="41" spans="1:3" s="4" customFormat="1" x14ac:dyDescent="0.25">
      <c r="A41" s="65" t="s">
        <v>19</v>
      </c>
      <c r="B41" s="57">
        <v>0.01</v>
      </c>
    </row>
    <row r="42" spans="1:3" s="4" customFormat="1" x14ac:dyDescent="0.25">
      <c r="A42" s="65" t="s">
        <v>19</v>
      </c>
      <c r="B42" s="57">
        <v>0.02</v>
      </c>
    </row>
    <row r="43" spans="1:3" s="4" customFormat="1" x14ac:dyDescent="0.25">
      <c r="A43" s="76" t="s">
        <v>24</v>
      </c>
      <c r="B43" s="63" t="str">
        <f>_xll.qlYoYInflationCurve(B1,B39:B40,B41:B42,"semiannual","act/360")</f>
        <v>欣[test_inflation.xlsx]YoYInflationIndex!R43C2YoYInflationTermStructureHandle,A</v>
      </c>
    </row>
    <row r="44" spans="1:3" s="4" customFormat="1" x14ac:dyDescent="0.25">
      <c r="A44" s="82" t="s">
        <v>375</v>
      </c>
      <c r="B44" s="48" t="b">
        <v>1</v>
      </c>
    </row>
    <row r="45" spans="1:3" s="4" customFormat="1" x14ac:dyDescent="0.25">
      <c r="A45" s="44" t="s">
        <v>383</v>
      </c>
      <c r="B45" s="45" t="str">
        <f>_xll.qlYYEUHICP()</f>
        <v>欣[test_inflation.xlsx]YoYInflationIndex!R45C2YYEUHICP,A</v>
      </c>
    </row>
    <row r="46" spans="1:3" s="4" customFormat="1" x14ac:dyDescent="0.25">
      <c r="A46" s="44" t="s">
        <v>384</v>
      </c>
      <c r="B46" s="45" t="str">
        <f>_xll.qlYYEUHICP(B43,B43)</f>
        <v>欣[test_inflation.xlsx]YoYInflationIndex!R46C2YYEUHICP,A</v>
      </c>
    </row>
    <row r="47" spans="1:3" s="4" customFormat="1" x14ac:dyDescent="0.25">
      <c r="A47" s="44" t="s">
        <v>385</v>
      </c>
      <c r="B47" s="45" t="str">
        <f>_xll.qlYYEUHICP2(B44)</f>
        <v>欣[test_inflation.xlsx]YoYInflationIndex!R47C2YYEUHICP,A</v>
      </c>
    </row>
    <row r="48" spans="1:3" s="4" customFormat="1" x14ac:dyDescent="0.25">
      <c r="A48" s="44" t="s">
        <v>386</v>
      </c>
      <c r="B48" s="45" t="str">
        <f>_xll.qlYYEUHICP2(B44,B43,B43)</f>
        <v>欣[test_inflation.xlsx]YoYInflationIndex!R48C2YYEUHICP,A</v>
      </c>
    </row>
    <row r="49" spans="1:2" s="4" customFormat="1" x14ac:dyDescent="0.25">
      <c r="A49" s="44" t="s">
        <v>387</v>
      </c>
      <c r="B49" s="45" t="str">
        <f>_xll.qlYYEUHICPXT()</f>
        <v>欣[test_inflation.xlsx]YoYInflationIndex!R49C2YYEUHICPXT,A</v>
      </c>
    </row>
    <row r="50" spans="1:2" s="4" customFormat="1" x14ac:dyDescent="0.25">
      <c r="A50" s="44" t="s">
        <v>388</v>
      </c>
      <c r="B50" s="45" t="str">
        <f>_xll.qlYYEUHICPXT(B43,B43)</f>
        <v>欣[test_inflation.xlsx]YoYInflationIndex!R50C2YYEUHICPXT,A</v>
      </c>
    </row>
    <row r="51" spans="1:2" s="4" customFormat="1" x14ac:dyDescent="0.25">
      <c r="A51" s="44" t="s">
        <v>389</v>
      </c>
      <c r="B51" s="45" t="str">
        <f>_xll.qlYYEUHICPXT2(B44)</f>
        <v>欣[test_inflation.xlsx]YoYInflationIndex!R51C2YYEUHICPXT,A</v>
      </c>
    </row>
    <row r="52" spans="1:2" s="4" customFormat="1" x14ac:dyDescent="0.25">
      <c r="A52" s="44" t="s">
        <v>390</v>
      </c>
      <c r="B52" s="45" t="str">
        <f>_xll.qlYYEUHICPXT2(B44,B43,B43)</f>
        <v>欣[test_inflation.xlsx]YoYInflationIndex!R52C2YYEUHICPXT,A</v>
      </c>
    </row>
    <row r="53" spans="1:2" s="4" customFormat="1" x14ac:dyDescent="0.25">
      <c r="A53" s="44" t="s">
        <v>391</v>
      </c>
      <c r="B53" s="45" t="str">
        <f>_xll.qlYYFRHICP()</f>
        <v>欣[test_inflation.xlsx]YoYInflationIndex!R53C2YYFRHICP,A</v>
      </c>
    </row>
    <row r="54" spans="1:2" s="4" customFormat="1" x14ac:dyDescent="0.25">
      <c r="A54" s="44" t="s">
        <v>392</v>
      </c>
      <c r="B54" s="45" t="str">
        <f>_xll.qlYYFRHICP(B43,B43)</f>
        <v>欣[test_inflation.xlsx]YoYInflationIndex!R54C2YYFRHICP,A</v>
      </c>
    </row>
    <row r="55" spans="1:2" s="4" customFormat="1" x14ac:dyDescent="0.25">
      <c r="A55" s="44" t="s">
        <v>393</v>
      </c>
      <c r="B55" s="45" t="str">
        <f>_xll.qlYYFRHICP2(B44)</f>
        <v>欣[test_inflation.xlsx]YoYInflationIndex!R55C2YYFRHICP,A</v>
      </c>
    </row>
    <row r="56" spans="1:2" s="4" customFormat="1" x14ac:dyDescent="0.25">
      <c r="A56" s="44" t="s">
        <v>394</v>
      </c>
      <c r="B56" s="45" t="str">
        <f>_xll.qlYYFRHICP2(B44,B43,B43)</f>
        <v>欣[test_inflation.xlsx]YoYInflationIndex!R56C2YYFRHICP,A</v>
      </c>
    </row>
    <row r="57" spans="1:2" s="4" customFormat="1" x14ac:dyDescent="0.25">
      <c r="A57" s="44" t="s">
        <v>395</v>
      </c>
      <c r="B57" s="45" t="str">
        <f>_xll.qlYYUKRPI()</f>
        <v>欣[test_inflation.xlsx]YoYInflationIndex!R57C2YYUKRPI,A</v>
      </c>
    </row>
    <row r="58" spans="1:2" s="4" customFormat="1" x14ac:dyDescent="0.25">
      <c r="A58" s="44" t="s">
        <v>396</v>
      </c>
      <c r="B58" s="45" t="str">
        <f>_xll.qlYYUKRPI(B43,B43)</f>
        <v>欣[test_inflation.xlsx]YoYInflationIndex!R58C2YYUKRPI,A</v>
      </c>
    </row>
    <row r="59" spans="1:2" s="4" customFormat="1" x14ac:dyDescent="0.25">
      <c r="A59" s="44" t="s">
        <v>397</v>
      </c>
      <c r="B59" s="45" t="str">
        <f>_xll.qlYYUKRPI2(B44)</f>
        <v>欣[test_inflation.xlsx]YoYInflationIndex!R59C2YYUKRPI,A</v>
      </c>
    </row>
    <row r="60" spans="1:2" s="4" customFormat="1" x14ac:dyDescent="0.25">
      <c r="A60" s="44" t="s">
        <v>398</v>
      </c>
      <c r="B60" s="45" t="str">
        <f>_xll.qlYYUKRPI2(B44,B43,B43)</f>
        <v>欣[test_inflation.xlsx]YoYInflationIndex!R60C2YYUKRPI,A</v>
      </c>
    </row>
    <row r="61" spans="1:2" x14ac:dyDescent="0.25">
      <c r="A61" s="44" t="s">
        <v>399</v>
      </c>
      <c r="B61" s="45" t="str">
        <f>_xll.qlYYUSCPI()</f>
        <v>欣[test_inflation.xlsx]YoYInflationIndex!R61C2YYUSCPI,A</v>
      </c>
    </row>
    <row r="62" spans="1:2" x14ac:dyDescent="0.25">
      <c r="A62" s="44" t="s">
        <v>400</v>
      </c>
      <c r="B62" s="45" t="str">
        <f>_xll.qlYYUSCPI(B43,B43)</f>
        <v>欣[test_inflation.xlsx]YoYInflationIndex!R62C2YYUSCPI,A</v>
      </c>
    </row>
    <row r="63" spans="1:2" x14ac:dyDescent="0.25">
      <c r="A63" s="44" t="s">
        <v>401</v>
      </c>
      <c r="B63" s="45" t="str">
        <f>_xll.qlYYUSCPI2(B44)</f>
        <v>欣[test_inflation.xlsx]YoYInflationIndex!R63C2YYUSCPI,A</v>
      </c>
    </row>
    <row r="64" spans="1:2" x14ac:dyDescent="0.25">
      <c r="A64" s="44" t="s">
        <v>402</v>
      </c>
      <c r="B64" s="45" t="str">
        <f>_xll.qlYYUSCPI2(B44,B43,B43)</f>
        <v>欣[test_inflation.xlsx]YoYInflationIndex!R64C2YYUSCPI,A</v>
      </c>
    </row>
    <row r="65" spans="1:2" x14ac:dyDescent="0.25">
      <c r="A65" s="44" t="s">
        <v>403</v>
      </c>
      <c r="B65" s="45" t="str">
        <f>_xll.qlYYZACPI()</f>
        <v>欣[test_inflation.xlsx]YoYInflationIndex!R65C2YYZACPI,A</v>
      </c>
    </row>
    <row r="66" spans="1:2" x14ac:dyDescent="0.25">
      <c r="A66" s="44" t="s">
        <v>404</v>
      </c>
      <c r="B66" s="45" t="str">
        <f>_xll.qlYYZACPI(B43,B43)</f>
        <v>欣[test_inflation.xlsx]YoYInflationIndex!R66C2YYZACPI,A</v>
      </c>
    </row>
    <row r="67" spans="1:2" x14ac:dyDescent="0.25">
      <c r="A67" s="44" t="s">
        <v>405</v>
      </c>
      <c r="B67" s="45" t="str">
        <f>_xll.qlYYZACPI2(B44)</f>
        <v>欣[test_inflation.xlsx]YoYInflationIndex!R67C2YYZACPI,A</v>
      </c>
    </row>
    <row r="68" spans="1:2" x14ac:dyDescent="0.25">
      <c r="A68" s="44" t="s">
        <v>406</v>
      </c>
      <c r="B68" s="45" t="str">
        <f>_xll.qlYYZACPI2(B44,B43,B43)</f>
        <v>欣[test_inflation.xlsx]YoYInflationIndex!R68C2YYZACPI,A</v>
      </c>
    </row>
  </sheetData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4D71D-8928-4D1E-92BE-F032DCD76DC9}">
  <dimension ref="A1:E28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11.5703125" defaultRowHeight="15" x14ac:dyDescent="0.25"/>
  <cols>
    <col min="1" max="1" width="42.42578125" customWidth="1"/>
    <col min="2" max="2" width="90.42578125" style="4" bestFit="1" customWidth="1"/>
    <col min="3" max="3" width="89" style="4" customWidth="1"/>
    <col min="4" max="5" width="11.5703125" style="4"/>
  </cols>
  <sheetData>
    <row r="1" spans="1:3" x14ac:dyDescent="0.25">
      <c r="A1" t="s">
        <v>2</v>
      </c>
      <c r="B1" s="2">
        <v>45292</v>
      </c>
    </row>
    <row r="2" spans="1:3" x14ac:dyDescent="0.25">
      <c r="A2" t="s">
        <v>3</v>
      </c>
      <c r="B2" s="2">
        <f>_xll.qlSettingsSetEvaluationDate(B1)</f>
        <v>45292</v>
      </c>
    </row>
    <row r="4" spans="1:3" x14ac:dyDescent="0.25">
      <c r="A4" s="92" t="s">
        <v>72</v>
      </c>
      <c r="B4" s="86">
        <v>0.02</v>
      </c>
      <c r="C4" s="87">
        <v>0.02</v>
      </c>
    </row>
    <row r="5" spans="1:3" x14ac:dyDescent="0.25">
      <c r="A5" s="93" t="s">
        <v>73</v>
      </c>
      <c r="B5" s="52" t="s">
        <v>17</v>
      </c>
      <c r="C5" s="55" t="s">
        <v>17</v>
      </c>
    </row>
    <row r="6" spans="1:3" x14ac:dyDescent="0.25">
      <c r="A6" s="93" t="s">
        <v>74</v>
      </c>
      <c r="B6" s="52">
        <v>46753</v>
      </c>
      <c r="C6" s="55">
        <v>46753</v>
      </c>
    </row>
    <row r="7" spans="1:3" x14ac:dyDescent="0.25">
      <c r="A7" s="93" t="s">
        <v>75</v>
      </c>
      <c r="B7" s="52" t="s">
        <v>78</v>
      </c>
      <c r="C7" s="55" t="s">
        <v>78</v>
      </c>
    </row>
    <row r="8" spans="1:3" x14ac:dyDescent="0.25">
      <c r="A8" s="93" t="s">
        <v>76</v>
      </c>
      <c r="B8" s="52" t="s">
        <v>79</v>
      </c>
      <c r="C8" s="55" t="s">
        <v>79</v>
      </c>
    </row>
    <row r="9" spans="1:3" x14ac:dyDescent="0.25">
      <c r="A9" s="93" t="s">
        <v>31</v>
      </c>
      <c r="B9" s="52" t="s">
        <v>52</v>
      </c>
      <c r="C9" s="55" t="s">
        <v>52</v>
      </c>
    </row>
    <row r="10" spans="1:3" x14ac:dyDescent="0.25">
      <c r="A10" s="64" t="s">
        <v>18</v>
      </c>
      <c r="B10" s="66">
        <v>45292</v>
      </c>
      <c r="C10" s="46">
        <v>45292</v>
      </c>
    </row>
    <row r="11" spans="1:3" x14ac:dyDescent="0.25">
      <c r="A11" s="65" t="s">
        <v>18</v>
      </c>
      <c r="B11" s="52">
        <v>45658</v>
      </c>
      <c r="C11" s="55">
        <v>45658</v>
      </c>
    </row>
    <row r="12" spans="1:3" x14ac:dyDescent="0.25">
      <c r="A12" s="65" t="s">
        <v>19</v>
      </c>
      <c r="B12" s="22">
        <v>0.01</v>
      </c>
      <c r="C12" s="57">
        <v>0.01</v>
      </c>
    </row>
    <row r="13" spans="1:3" x14ac:dyDescent="0.25">
      <c r="A13" s="65" t="s">
        <v>19</v>
      </c>
      <c r="B13" s="22">
        <v>0.02</v>
      </c>
      <c r="C13" s="57">
        <v>0.02</v>
      </c>
    </row>
    <row r="14" spans="1:3" x14ac:dyDescent="0.25">
      <c r="A14" s="215" t="s">
        <v>15</v>
      </c>
      <c r="B14" s="83" t="str">
        <f>_xll.qlZeroInflationCurve($B$1,B10:B11,B12:B13,"semiannual","act/360",,$B$2)</f>
        <v>欣[test_inflation.xlsx]ZeroCouponInflationSwapHelper!R14C2ZeroInflationTermStructureHandle,A</v>
      </c>
      <c r="C14" s="63" t="str">
        <f>_xll.qlZeroInflationCurve($B$1,C10:C11,C12:C13,"semiannual","act/360",,$B$2)</f>
        <v>欣[test_inflation.xlsx]ZeroCouponInflationSwapHelper!R14C3ZeroInflationTermStructureHandle,A</v>
      </c>
    </row>
    <row r="15" spans="1:3" x14ac:dyDescent="0.25">
      <c r="A15" s="96" t="s">
        <v>89</v>
      </c>
      <c r="B15" s="83" t="str">
        <f>_xll.qlAUCPI("Annual",FALSE,B14,B14)</f>
        <v>欣[test_inflation.xlsx]ZeroCouponInflationSwapHelper!R15C2AUCPI,A</v>
      </c>
      <c r="C15" s="63" t="str">
        <f>_xll.qlAUCPI("Annual",FALSE,C14,C14)</f>
        <v>欣[test_inflation.xlsx]ZeroCouponInflationSwapHelper!R15C3AUCPI,A</v>
      </c>
    </row>
    <row r="16" spans="1:3" x14ac:dyDescent="0.25">
      <c r="A16" s="69" t="s">
        <v>14</v>
      </c>
      <c r="B16" s="66">
        <v>44927</v>
      </c>
      <c r="C16" s="46">
        <v>44927</v>
      </c>
    </row>
    <row r="17" spans="1:3" x14ac:dyDescent="0.25">
      <c r="A17" s="70" t="s">
        <v>22</v>
      </c>
      <c r="B17" s="53">
        <v>102</v>
      </c>
      <c r="C17" s="50">
        <v>102</v>
      </c>
    </row>
    <row r="18" spans="1:3" x14ac:dyDescent="0.25">
      <c r="A18" s="79" t="s">
        <v>21</v>
      </c>
      <c r="B18" s="84" t="b">
        <f>_xll.qlIndexAddFixing(B15,B16,B17,,B15)</f>
        <v>1</v>
      </c>
      <c r="C18" s="216" t="b">
        <f>_xll.qlIndexAddFixing(C15,C16,C17,,C15)</f>
        <v>1</v>
      </c>
    </row>
    <row r="19" spans="1:3" x14ac:dyDescent="0.25">
      <c r="A19" s="93" t="s">
        <v>77</v>
      </c>
      <c r="B19" s="52" t="s">
        <v>80</v>
      </c>
      <c r="C19" s="55" t="s">
        <v>80</v>
      </c>
    </row>
    <row r="20" spans="1:3" x14ac:dyDescent="0.25">
      <c r="A20" s="93" t="s">
        <v>83</v>
      </c>
      <c r="B20" s="52"/>
      <c r="C20" s="57" t="str">
        <f>_xll.qlFlatForward(B1,0.03,"actual365fixed")</f>
        <v>欣[test_inflation.xlsx]ZeroCouponInflationSwapHelper!R20C3YieldTermStructureHandle,A</v>
      </c>
    </row>
    <row r="21" spans="1:3" x14ac:dyDescent="0.25">
      <c r="A21" s="258" t="s">
        <v>407</v>
      </c>
      <c r="B21" s="53" t="str">
        <f>_xll.qlZeroCouponInflationSwapHelper(B4,B5,B6,B7,B8,B9,B15,B19,,B18)</f>
        <v>欣[test_inflation.xlsx]ZeroCouponInflationSwapHelper!R21C2ZeroCouponInflationSwapHelper,A</v>
      </c>
      <c r="C21" s="50" t="str">
        <f>_xll.qlZeroCouponInflationSwapHelper(C4,C5,C6,C7,C8,C9,C15,C19,C20,C18)</f>
        <v>欣[test_inflation.xlsx]ZeroCouponInflationSwapHelper!R21C3ZeroCouponInflationSwapHelper,A</v>
      </c>
    </row>
    <row r="22" spans="1:3" x14ac:dyDescent="0.25">
      <c r="A22" s="259" t="s">
        <v>408</v>
      </c>
      <c r="B22" s="260" t="str">
        <f>_xll.qlZeroCouponInflationSwapHelperSwap(B21,B21)</f>
        <v>欣[test_inflation.xlsx]ZeroCouponInflationSwapHelper!R22C2ZeroCouponInflationSwap,A</v>
      </c>
      <c r="C22" s="260" t="str">
        <f>_xll.qlZeroCouponInflationSwapHelperSwap(C21,C21)</f>
        <v>欣[test_inflation.xlsx]ZeroCouponInflationSwapHelper!R22C3ZeroCouponInflationSwap,A</v>
      </c>
    </row>
    <row r="23" spans="1:3" x14ac:dyDescent="0.25">
      <c r="A23" s="59" t="s">
        <v>409</v>
      </c>
      <c r="B23" s="22">
        <f>_xll.qlBootstrapHelperQuote(B21,B21)</f>
        <v>0.02</v>
      </c>
      <c r="C23" s="57">
        <f>_xll.qlBootstrapHelperQuote(C21,C21)</f>
        <v>0.02</v>
      </c>
    </row>
    <row r="24" spans="1:3" x14ac:dyDescent="0.25">
      <c r="A24" s="73" t="s">
        <v>410</v>
      </c>
      <c r="B24" s="128">
        <f>_xll.qlBootstrapHelperLatestDate(B21,B21)</f>
        <v>46388</v>
      </c>
      <c r="C24" s="252">
        <f>_xll.qlBootstrapHelperLatestDate(C21,C21)</f>
        <v>46388</v>
      </c>
    </row>
    <row r="25" spans="1:3" x14ac:dyDescent="0.25">
      <c r="A25" s="59" t="s">
        <v>411</v>
      </c>
      <c r="B25" s="52">
        <f>_xll.qlBootstrapHelperEarliestDate(B21,B21)</f>
        <v>46388</v>
      </c>
      <c r="C25" s="55">
        <f>_xll.qlBootstrapHelperEarliestDate(C21,C21)</f>
        <v>46388</v>
      </c>
    </row>
    <row r="26" spans="1:3" x14ac:dyDescent="0.25">
      <c r="A26" s="73" t="s">
        <v>412</v>
      </c>
      <c r="B26" s="128">
        <f>_xll.qlBootstrapHelperMaturityDate(B21,B21)</f>
        <v>46388</v>
      </c>
      <c r="C26" s="252">
        <f>_xll.qlBootstrapHelperMaturityDate(C21,C21)</f>
        <v>46388</v>
      </c>
    </row>
    <row r="27" spans="1:3" x14ac:dyDescent="0.25">
      <c r="A27" s="73" t="s">
        <v>413</v>
      </c>
      <c r="B27" s="128">
        <f>_xll.qlBootstrapHelperLatestRelevantDate(B21,B21)</f>
        <v>46388</v>
      </c>
      <c r="C27" s="252">
        <f>_xll.qlBootstrapHelperLatestRelevantDate(C21,C21)</f>
        <v>46388</v>
      </c>
    </row>
    <row r="28" spans="1:3" x14ac:dyDescent="0.25">
      <c r="A28" s="47" t="s">
        <v>414</v>
      </c>
      <c r="B28" s="68">
        <f>_xll.qlBootstrapHelperPillarDate(B21,B21)</f>
        <v>46388</v>
      </c>
      <c r="C28" s="58">
        <f>_xll.qlBootstrapHelperPillarDate(C21,C21)</f>
        <v>46388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64780-045C-43C9-B2B1-81C8A6FC69C1}">
  <dimension ref="A1:E30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11.5703125" defaultRowHeight="15" x14ac:dyDescent="0.25"/>
  <cols>
    <col min="1" max="1" width="42.42578125" customWidth="1"/>
    <col min="2" max="2" width="87" style="4" customWidth="1"/>
    <col min="3" max="3" width="86.7109375" style="4" customWidth="1"/>
    <col min="4" max="5" width="11.5703125" style="4"/>
  </cols>
  <sheetData>
    <row r="1" spans="1:3" x14ac:dyDescent="0.25">
      <c r="A1" t="s">
        <v>2</v>
      </c>
      <c r="B1" s="2">
        <v>45292</v>
      </c>
    </row>
    <row r="2" spans="1:3" x14ac:dyDescent="0.25">
      <c r="A2" t="s">
        <v>3</v>
      </c>
      <c r="B2" s="2">
        <f>_xll.qlSettingsSetEvaluationDate(B1)</f>
        <v>45292</v>
      </c>
    </row>
    <row r="4" spans="1:3" x14ac:dyDescent="0.25">
      <c r="A4" s="92" t="s">
        <v>72</v>
      </c>
      <c r="B4" s="86">
        <v>0.02</v>
      </c>
      <c r="C4" s="87">
        <v>0.02</v>
      </c>
    </row>
    <row r="5" spans="1:3" x14ac:dyDescent="0.25">
      <c r="A5" s="93" t="s">
        <v>73</v>
      </c>
      <c r="B5" s="52" t="s">
        <v>17</v>
      </c>
      <c r="C5" s="55" t="s">
        <v>17</v>
      </c>
    </row>
    <row r="6" spans="1:3" x14ac:dyDescent="0.25">
      <c r="A6" s="93" t="s">
        <v>74</v>
      </c>
      <c r="B6" s="52">
        <v>46753</v>
      </c>
      <c r="C6" s="55">
        <v>46753</v>
      </c>
    </row>
    <row r="7" spans="1:3" x14ac:dyDescent="0.25">
      <c r="A7" s="93" t="s">
        <v>75</v>
      </c>
      <c r="B7" s="52" t="s">
        <v>78</v>
      </c>
      <c r="C7" s="55" t="s">
        <v>78</v>
      </c>
    </row>
    <row r="8" spans="1:3" x14ac:dyDescent="0.25">
      <c r="A8" s="93" t="s">
        <v>76</v>
      </c>
      <c r="B8" s="52" t="s">
        <v>79</v>
      </c>
      <c r="C8" s="55" t="s">
        <v>79</v>
      </c>
    </row>
    <row r="9" spans="1:3" x14ac:dyDescent="0.25">
      <c r="A9" s="93" t="s">
        <v>31</v>
      </c>
      <c r="B9" s="52" t="s">
        <v>52</v>
      </c>
      <c r="C9" s="55" t="s">
        <v>52</v>
      </c>
    </row>
    <row r="10" spans="1:3" x14ac:dyDescent="0.25">
      <c r="A10" s="64" t="s">
        <v>18</v>
      </c>
      <c r="B10" s="66">
        <v>45292</v>
      </c>
      <c r="C10" s="46">
        <v>45292</v>
      </c>
    </row>
    <row r="11" spans="1:3" x14ac:dyDescent="0.25">
      <c r="A11" s="65" t="s">
        <v>18</v>
      </c>
      <c r="B11" s="52">
        <v>45658</v>
      </c>
      <c r="C11" s="55">
        <v>45658</v>
      </c>
    </row>
    <row r="12" spans="1:3" x14ac:dyDescent="0.25">
      <c r="A12" s="65" t="s">
        <v>19</v>
      </c>
      <c r="B12" s="22">
        <v>0.01</v>
      </c>
      <c r="C12" s="57">
        <v>0.01</v>
      </c>
    </row>
    <row r="13" spans="1:3" x14ac:dyDescent="0.25">
      <c r="A13" s="65" t="s">
        <v>19</v>
      </c>
      <c r="B13" s="22">
        <v>0.02</v>
      </c>
      <c r="C13" s="57">
        <v>0.02</v>
      </c>
    </row>
    <row r="14" spans="1:3" x14ac:dyDescent="0.25">
      <c r="A14" s="65" t="s">
        <v>24</v>
      </c>
      <c r="B14" s="90" t="str">
        <f>_xll.qlYoYInflationCurve($B$1,B10:B11,B12:B13,"semiannual","act/360",,$B$2)</f>
        <v>欣[test_inflation.xlsx]YoYInflationSwapHelper!R14C2YoYInflationTermStructureHandle,A</v>
      </c>
      <c r="C14" s="61" t="str">
        <f>_xll.qlYoYInflationCurve($B$1,C10:C11,C12:C13,"semiannual","act/360",,$B$2)</f>
        <v>欣[test_inflation.xlsx]YoYInflationSwapHelper!R14C3YoYInflationTermStructureHandle,A</v>
      </c>
    </row>
    <row r="15" spans="1:3" s="14" customFormat="1" x14ac:dyDescent="0.25">
      <c r="A15" s="96" t="s">
        <v>90</v>
      </c>
      <c r="B15" s="97" t="str">
        <f>_xll.qlYYEUHICP(B14,B14)</f>
        <v>欣[test_inflation.xlsx]YoYInflationSwapHelper!R15C2YYEUHICP,A</v>
      </c>
      <c r="C15" s="217" t="str">
        <f>_xll.qlYYEUHICP(C14,C14)</f>
        <v>欣[test_inflation.xlsx]YoYInflationSwapHelper!R15C3YYEUHICP,A</v>
      </c>
    </row>
    <row r="16" spans="1:3" x14ac:dyDescent="0.25">
      <c r="A16" s="70" t="s">
        <v>14</v>
      </c>
      <c r="B16" s="52">
        <v>44927</v>
      </c>
      <c r="C16" s="55">
        <v>44927</v>
      </c>
    </row>
    <row r="17" spans="1:3" x14ac:dyDescent="0.25">
      <c r="A17" s="70" t="s">
        <v>22</v>
      </c>
      <c r="B17" s="53">
        <v>102</v>
      </c>
      <c r="C17" s="50">
        <v>102</v>
      </c>
    </row>
    <row r="18" spans="1:3" x14ac:dyDescent="0.25">
      <c r="A18" s="79" t="s">
        <v>21</v>
      </c>
      <c r="B18" s="84" t="b">
        <f>_xll.qlIndexAddFixing(B15,B16,B17,,B15)</f>
        <v>1</v>
      </c>
      <c r="C18" s="216" t="b">
        <f>_xll.qlIndexAddFixing(C15,C16,C17,,C15)</f>
        <v>1</v>
      </c>
    </row>
    <row r="19" spans="1:3" x14ac:dyDescent="0.25">
      <c r="A19" s="93" t="s">
        <v>77</v>
      </c>
      <c r="B19" s="52" t="s">
        <v>80</v>
      </c>
      <c r="C19" s="55" t="s">
        <v>80</v>
      </c>
    </row>
    <row r="20" spans="1:3" s="4" customFormat="1" x14ac:dyDescent="0.25">
      <c r="A20" s="93" t="s">
        <v>83</v>
      </c>
      <c r="B20" s="52" t="str">
        <f>_xll.qlFlatForward($B$1,0.03,"actual365fixed",,,B18)</f>
        <v>欣[test_inflation.xlsx]YoYInflationSwapHelper!R20C2YieldTermStructureHandle,A</v>
      </c>
      <c r="C20" s="55" t="str">
        <f>_xll.qlFlatForward($B$1,0.03,"actual365fixed",,,C18)</f>
        <v>欣[test_inflation.xlsx]YoYInflationSwapHelper!R20C3YieldTermStructureHandle,A</v>
      </c>
    </row>
    <row r="21" spans="1:3" s="4" customFormat="1" x14ac:dyDescent="0.25">
      <c r="A21" s="93" t="s">
        <v>415</v>
      </c>
      <c r="B21" s="52"/>
      <c r="C21" s="57" t="s">
        <v>416</v>
      </c>
    </row>
    <row r="22" spans="1:3" s="4" customFormat="1" x14ac:dyDescent="0.25">
      <c r="A22" s="93" t="s">
        <v>417</v>
      </c>
      <c r="B22" s="52"/>
      <c r="C22" s="55">
        <v>46784</v>
      </c>
    </row>
    <row r="23" spans="1:3" s="4" customFormat="1" x14ac:dyDescent="0.25">
      <c r="A23" s="258" t="s">
        <v>418</v>
      </c>
      <c r="B23" s="53" t="str">
        <f>_xll.qlYearOnYearInflationSwapHelper(B4,B5,B6,B7,B8,B9,B15,B19,B20,,,B20)</f>
        <v>欣[test_inflation.xlsx]YoYInflationSwapHelper!R23C2YearOnYearInflationSwapHelper,A</v>
      </c>
      <c r="C23" s="50" t="str">
        <f>_xll.qlYearOnYearInflationSwapHelper(C4,C5,C6,C7,C8,C9,C15,C19,C20,C21,C22,C20)</f>
        <v>欣[test_inflation.xlsx]YoYInflationSwapHelper!R23C3YearOnYearInflationSwapHelper,A</v>
      </c>
    </row>
    <row r="24" spans="1:3" s="4" customFormat="1" x14ac:dyDescent="0.25">
      <c r="A24" s="200" t="s">
        <v>419</v>
      </c>
      <c r="B24" s="136" t="str">
        <f>_xll.qlYearOnYearInflationSwapHelperSwap(B23,B23)</f>
        <v>欣[test_inflation.xlsx]YoYInflationSwapHelper!R24C2YearOnYearInflationSwap,A</v>
      </c>
      <c r="C24" s="201" t="str">
        <f>_xll.qlYearOnYearInflationSwapHelperSwap(C23,C23)</f>
        <v>欣[test_inflation.xlsx]YoYInflationSwapHelper!R24C3YearOnYearInflationSwap,A</v>
      </c>
    </row>
    <row r="25" spans="1:3" s="4" customFormat="1" x14ac:dyDescent="0.25">
      <c r="A25" s="59" t="s">
        <v>409</v>
      </c>
      <c r="B25" s="22">
        <f>_xll.qlBootstrapHelperQuote(B23,B23)</f>
        <v>0.02</v>
      </c>
      <c r="C25" s="57">
        <f>_xll.qlBootstrapHelperQuote(C23,C23)</f>
        <v>0.02</v>
      </c>
    </row>
    <row r="26" spans="1:3" s="4" customFormat="1" x14ac:dyDescent="0.25">
      <c r="A26" s="73" t="s">
        <v>410</v>
      </c>
      <c r="B26" s="128">
        <f>_xll.qlBootstrapHelperLatestDate(B23,B23)</f>
        <v>46661</v>
      </c>
      <c r="C26" s="252">
        <f>_xll.qlBootstrapHelperLatestDate(C23,C23)</f>
        <v>46661</v>
      </c>
    </row>
    <row r="27" spans="1:3" s="4" customFormat="1" x14ac:dyDescent="0.25">
      <c r="A27" s="59" t="s">
        <v>411</v>
      </c>
      <c r="B27" s="52">
        <f>_xll.qlBootstrapHelperEarliestDate(B23,B23)</f>
        <v>46661</v>
      </c>
      <c r="C27" s="55">
        <f>_xll.qlBootstrapHelperEarliestDate(C23,C23)</f>
        <v>46661</v>
      </c>
    </row>
    <row r="28" spans="1:3" s="4" customFormat="1" x14ac:dyDescent="0.25">
      <c r="A28" s="73" t="s">
        <v>412</v>
      </c>
      <c r="B28" s="128">
        <f>_xll.qlBootstrapHelperMaturityDate(B23,B23)</f>
        <v>46661</v>
      </c>
      <c r="C28" s="252">
        <f>_xll.qlBootstrapHelperMaturityDate(C23,C23)</f>
        <v>46661</v>
      </c>
    </row>
    <row r="29" spans="1:3" s="4" customFormat="1" x14ac:dyDescent="0.25">
      <c r="A29" s="73" t="s">
        <v>413</v>
      </c>
      <c r="B29" s="128">
        <f>_xll.qlBootstrapHelperLatestRelevantDate(B23,B23)</f>
        <v>46661</v>
      </c>
      <c r="C29" s="252">
        <f>_xll.qlBootstrapHelperLatestRelevantDate(C23,C23)</f>
        <v>46661</v>
      </c>
    </row>
    <row r="30" spans="1:3" s="4" customFormat="1" x14ac:dyDescent="0.25">
      <c r="A30" s="47" t="s">
        <v>414</v>
      </c>
      <c r="B30" s="68">
        <f>_xll.qlBootstrapHelperPillarDate(B23,B23)</f>
        <v>46661</v>
      </c>
      <c r="C30" s="58">
        <f>_xll.qlBootstrapHelperPillarDate(C23,C23)</f>
        <v>46661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5A659-E678-4E9B-B3B2-C4C06626833A}">
  <dimension ref="A1:E62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11.5703125" defaultRowHeight="15" x14ac:dyDescent="0.25"/>
  <cols>
    <col min="1" max="1" width="47.140625" customWidth="1"/>
    <col min="2" max="2" width="87" style="4" customWidth="1"/>
    <col min="3" max="3" width="86.7109375" style="4" customWidth="1"/>
    <col min="4" max="5" width="11.5703125" style="4"/>
  </cols>
  <sheetData>
    <row r="1" spans="1:3" x14ac:dyDescent="0.25">
      <c r="A1" t="s">
        <v>2</v>
      </c>
      <c r="B1" s="2">
        <v>45292</v>
      </c>
    </row>
    <row r="2" spans="1:3" x14ac:dyDescent="0.25">
      <c r="A2" t="s">
        <v>3</v>
      </c>
      <c r="B2" s="2">
        <f>_xll.qlSettingsSetEvaluationDate(B1)</f>
        <v>45292</v>
      </c>
    </row>
    <row r="4" spans="1:3" x14ac:dyDescent="0.25">
      <c r="A4" s="92" t="s">
        <v>91</v>
      </c>
      <c r="B4" s="66">
        <v>45658</v>
      </c>
      <c r="C4" s="46">
        <v>45658</v>
      </c>
    </row>
    <row r="5" spans="1:3" x14ac:dyDescent="0.25">
      <c r="A5" s="93" t="s">
        <v>92</v>
      </c>
      <c r="B5" s="53">
        <v>1000</v>
      </c>
      <c r="C5" s="50">
        <v>1000</v>
      </c>
    </row>
    <row r="6" spans="1:3" x14ac:dyDescent="0.25">
      <c r="A6" s="93" t="s">
        <v>93</v>
      </c>
      <c r="B6" s="52">
        <v>45292</v>
      </c>
      <c r="C6" s="55">
        <v>45292</v>
      </c>
    </row>
    <row r="7" spans="1:3" x14ac:dyDescent="0.25">
      <c r="A7" s="93" t="s">
        <v>94</v>
      </c>
      <c r="B7" s="52">
        <v>45658</v>
      </c>
      <c r="C7" s="55">
        <v>45658</v>
      </c>
    </row>
    <row r="8" spans="1:3" s="4" customFormat="1" x14ac:dyDescent="0.25">
      <c r="A8" s="93" t="s">
        <v>95</v>
      </c>
      <c r="B8" s="53">
        <v>0</v>
      </c>
      <c r="C8" s="50">
        <v>0</v>
      </c>
    </row>
    <row r="9" spans="1:3" s="4" customFormat="1" x14ac:dyDescent="0.25">
      <c r="A9" s="64" t="s">
        <v>18</v>
      </c>
      <c r="B9" s="66">
        <v>45292</v>
      </c>
      <c r="C9" s="46">
        <v>45292</v>
      </c>
    </row>
    <row r="10" spans="1:3" s="4" customFormat="1" x14ac:dyDescent="0.25">
      <c r="A10" s="65" t="s">
        <v>18</v>
      </c>
      <c r="B10" s="52">
        <v>45658</v>
      </c>
      <c r="C10" s="55">
        <v>45658</v>
      </c>
    </row>
    <row r="11" spans="1:3" s="4" customFormat="1" x14ac:dyDescent="0.25">
      <c r="A11" s="65" t="s">
        <v>19</v>
      </c>
      <c r="B11" s="22">
        <v>0.01</v>
      </c>
      <c r="C11" s="57">
        <v>0.03</v>
      </c>
    </row>
    <row r="12" spans="1:3" s="4" customFormat="1" x14ac:dyDescent="0.25">
      <c r="A12" s="65" t="s">
        <v>19</v>
      </c>
      <c r="B12" s="22">
        <v>0.02</v>
      </c>
      <c r="C12" s="57">
        <v>0.02</v>
      </c>
    </row>
    <row r="13" spans="1:3" s="4" customFormat="1" x14ac:dyDescent="0.25">
      <c r="A13" s="65" t="s">
        <v>24</v>
      </c>
      <c r="B13" s="90" t="str">
        <f>_xll.qlYoYInflationCurve($B$1,B9:B10,B11:B12,"semiannual","act/360",,$B$2)</f>
        <v>欣[test_inflation.xlsx]YoYInflationCoupon!R13C2YoYInflationTermStructureHandle,A</v>
      </c>
      <c r="C13" s="61" t="str">
        <f>_xll.qlYoYInflationCurve($B$1,C9:C10,C11:C12,"semiannual","act/360",,$B$2)</f>
        <v>欣[test_inflation.xlsx]YoYInflationCoupon!R13C3YoYInflationTermStructureHandle,A</v>
      </c>
    </row>
    <row r="14" spans="1:3" s="14" customFormat="1" x14ac:dyDescent="0.25">
      <c r="A14" s="98" t="s">
        <v>90</v>
      </c>
      <c r="B14" s="80" t="str">
        <f>_xll.qlYYEUHICP(B13,B13)</f>
        <v>欣[test_inflation.xlsx]YoYInflationCoupon!R14C2YYEUHICP,A</v>
      </c>
      <c r="C14" s="81" t="str">
        <f>_xll.qlYYEUHICP(C13,C13)</f>
        <v>欣[test_inflation.xlsx]YoYInflationCoupon!R14C3YYEUHICP,A</v>
      </c>
    </row>
    <row r="15" spans="1:3" s="4" customFormat="1" x14ac:dyDescent="0.25">
      <c r="A15" s="94" t="s">
        <v>54</v>
      </c>
      <c r="B15" s="52" t="s">
        <v>17</v>
      </c>
      <c r="C15" s="55" t="s">
        <v>17</v>
      </c>
    </row>
    <row r="16" spans="1:3" s="4" customFormat="1" x14ac:dyDescent="0.25">
      <c r="A16" s="94" t="s">
        <v>96</v>
      </c>
      <c r="B16" s="52" t="s">
        <v>80</v>
      </c>
      <c r="C16" s="55" t="s">
        <v>80</v>
      </c>
    </row>
    <row r="17" spans="1:3" s="4" customFormat="1" x14ac:dyDescent="0.25">
      <c r="A17" s="94" t="s">
        <v>31</v>
      </c>
      <c r="B17" s="22" t="s">
        <v>52</v>
      </c>
      <c r="C17" s="57" t="s">
        <v>52</v>
      </c>
    </row>
    <row r="18" spans="1:3" s="4" customFormat="1" x14ac:dyDescent="0.25">
      <c r="A18" s="94" t="s">
        <v>420</v>
      </c>
      <c r="B18" s="22"/>
      <c r="C18" s="57">
        <v>1</v>
      </c>
    </row>
    <row r="19" spans="1:3" s="4" customFormat="1" x14ac:dyDescent="0.25">
      <c r="A19" s="94" t="s">
        <v>97</v>
      </c>
      <c r="B19" s="90"/>
      <c r="C19" s="61">
        <v>0</v>
      </c>
    </row>
    <row r="20" spans="1:3" s="14" customFormat="1" x14ac:dyDescent="0.25">
      <c r="A20" s="94" t="s">
        <v>98</v>
      </c>
      <c r="B20" s="99"/>
      <c r="C20" s="100">
        <v>45292</v>
      </c>
    </row>
    <row r="21" spans="1:3" s="4" customFormat="1" x14ac:dyDescent="0.25">
      <c r="A21" s="101" t="s">
        <v>99</v>
      </c>
      <c r="B21" s="52"/>
      <c r="C21" s="71">
        <v>45658</v>
      </c>
    </row>
    <row r="22" spans="1:3" s="4" customFormat="1" x14ac:dyDescent="0.25">
      <c r="A22" s="102" t="s">
        <v>421</v>
      </c>
      <c r="B22" s="91" t="str">
        <f>_xll.qlYoYInflationCoupon(B4,B5,B6,B7,B8,B14,B15,B16,B17,,,,,B14)</f>
        <v>欣[test_inflation.xlsx]YoYInflationCoupon!R22C2YoYInflationCoupon,A</v>
      </c>
      <c r="C22" s="56" t="str">
        <f>_xll.qlYoYInflationCoupon(C4,C5,C6,C7,C8,C14,C15,C16,C17,C18,C19,C20,C21,C14)</f>
        <v>欣[test_inflation.xlsx]YoYInflationCoupon!R22C3YoYInflationCoupon,A</v>
      </c>
    </row>
    <row r="23" spans="1:3" s="4" customFormat="1" x14ac:dyDescent="0.25">
      <c r="A23" s="218" t="s">
        <v>422</v>
      </c>
      <c r="B23" s="250">
        <f>_xll.qlYoYInflationCouponGearing(B22,B22)</f>
        <v>1</v>
      </c>
      <c r="C23" s="251">
        <f>_xll.qlYoYInflationCouponGearing(C22,C22)</f>
        <v>1</v>
      </c>
    </row>
    <row r="24" spans="1:3" s="4" customFormat="1" x14ac:dyDescent="0.25">
      <c r="A24" s="78" t="s">
        <v>423</v>
      </c>
      <c r="B24" s="53">
        <f>_xll.qlYoYInflationCouponSpread(B22,B22)</f>
        <v>0</v>
      </c>
      <c r="C24" s="50">
        <f>_xll.qlYoYInflationCouponSpread(C22,C22)</f>
        <v>0</v>
      </c>
    </row>
    <row r="25" spans="1:3" s="4" customFormat="1" x14ac:dyDescent="0.25">
      <c r="A25" s="78" t="s">
        <v>424</v>
      </c>
      <c r="B25" s="128" t="str">
        <f>_xll.qlYoYInflationCouponYoYIndex(B22,B22)</f>
        <v>欣[test_inflation.xlsx]YoYInflationCoupon!R25C2YoYInflationIndex,A</v>
      </c>
      <c r="C25" s="252" t="str">
        <f>_xll.qlYoYInflationCouponYoYIndex(C22,C22)</f>
        <v>欣[test_inflation.xlsx]YoYInflationCoupon!R25C3YoYInflationIndex,A</v>
      </c>
    </row>
    <row r="26" spans="1:3" s="4" customFormat="1" x14ac:dyDescent="0.25">
      <c r="A26" s="78" t="s">
        <v>425</v>
      </c>
      <c r="B26" s="53" t="str">
        <f>_xll.qlYoYInflationCouponInterpolation(B22,B22)</f>
        <v>ASINDEX</v>
      </c>
      <c r="C26" s="50" t="str">
        <f>_xll.qlYoYInflationCouponInterpolation(C22,C22)</f>
        <v>ASINDEX</v>
      </c>
    </row>
    <row r="27" spans="1:3" s="4" customFormat="1" x14ac:dyDescent="0.25">
      <c r="A27" s="103" t="s">
        <v>104</v>
      </c>
      <c r="B27" s="128">
        <f>_xll.qlInflationCouponFixingDate(B22,B22)</f>
        <v>45566</v>
      </c>
      <c r="C27" s="252">
        <f>_xll.qlInflationCouponFixingDate(C22,C22)</f>
        <v>45566</v>
      </c>
    </row>
    <row r="28" spans="1:3" s="4" customFormat="1" x14ac:dyDescent="0.25">
      <c r="A28" s="103" t="s">
        <v>100</v>
      </c>
      <c r="B28" s="53">
        <f>_xll.qlInflationCouponFixingDays(B22,B22)</f>
        <v>0</v>
      </c>
      <c r="C28" s="50">
        <f>_xll.qlInflationCouponFixingDays(C22,C22)</f>
        <v>0</v>
      </c>
    </row>
    <row r="29" spans="1:3" s="4" customFormat="1" x14ac:dyDescent="0.25">
      <c r="A29" s="78" t="s">
        <v>101</v>
      </c>
      <c r="B29" s="74" t="str">
        <f>_xll.qlInflationCouponIndex(B22,B22)</f>
        <v>欣[test_inflation.xlsx]YoYInflationCoupon!R29C2InflationIndex,A</v>
      </c>
      <c r="C29" s="75" t="str">
        <f>_xll.qlInflationCouponIndex(C22,C22)</f>
        <v>欣[test_inflation.xlsx]YoYInflationCoupon!R29C3InflationIndex,A</v>
      </c>
    </row>
    <row r="30" spans="1:3" s="4" customFormat="1" x14ac:dyDescent="0.25">
      <c r="A30" s="78" t="s">
        <v>102</v>
      </c>
      <c r="B30" s="53">
        <f>_xll.qlInflationCouponIndexFixing(B22,B22)</f>
        <v>1.4972677595628415E-2</v>
      </c>
      <c r="C30" s="50">
        <f>_xll.qlInflationCouponIndexFixing(C22,C22)</f>
        <v>2.5027322404371583E-2</v>
      </c>
    </row>
    <row r="31" spans="1:3" s="4" customFormat="1" x14ac:dyDescent="0.25">
      <c r="A31" s="78" t="s">
        <v>103</v>
      </c>
      <c r="B31" s="128" t="str">
        <f>_xll.qlInflationCouponObservationLag(B22,B22)</f>
        <v>3M</v>
      </c>
      <c r="C31" s="252" t="str">
        <f>_xll.qlInflationCouponObservationLag(C22,C22)</f>
        <v>3M</v>
      </c>
    </row>
    <row r="32" spans="1:3" s="4" customFormat="1" x14ac:dyDescent="0.25">
      <c r="A32" s="10"/>
      <c r="B32" s="2"/>
      <c r="C32" s="2"/>
    </row>
    <row r="33" spans="1:3" s="4" customFormat="1" x14ac:dyDescent="0.25">
      <c r="A33" s="10"/>
      <c r="B33" s="2"/>
      <c r="C33" s="2"/>
    </row>
    <row r="34" spans="1:3" s="4" customFormat="1" x14ac:dyDescent="0.25">
      <c r="A34" s="85" t="s">
        <v>105</v>
      </c>
      <c r="B34" s="104">
        <v>2</v>
      </c>
      <c r="C34" s="2"/>
    </row>
    <row r="35" spans="1:3" x14ac:dyDescent="0.25">
      <c r="A35" s="88" t="s">
        <v>75</v>
      </c>
      <c r="B35" s="105" t="s">
        <v>78</v>
      </c>
    </row>
    <row r="36" spans="1:3" x14ac:dyDescent="0.25">
      <c r="A36" s="88" t="s">
        <v>76</v>
      </c>
      <c r="B36" s="105" t="s">
        <v>79</v>
      </c>
    </row>
    <row r="37" spans="1:3" x14ac:dyDescent="0.25">
      <c r="A37" s="88" t="s">
        <v>31</v>
      </c>
      <c r="B37" s="106" t="s">
        <v>52</v>
      </c>
      <c r="C37" s="2"/>
    </row>
    <row r="38" spans="1:3" x14ac:dyDescent="0.25">
      <c r="A38" s="88" t="s">
        <v>73</v>
      </c>
      <c r="B38" s="106" t="s">
        <v>17</v>
      </c>
      <c r="C38" s="2"/>
    </row>
    <row r="39" spans="1:3" x14ac:dyDescent="0.25">
      <c r="A39" s="88" t="s">
        <v>12</v>
      </c>
      <c r="B39" s="106" t="s">
        <v>81</v>
      </c>
    </row>
    <row r="40" spans="1:3" x14ac:dyDescent="0.25">
      <c r="A40" s="88" t="s">
        <v>106</v>
      </c>
      <c r="B40" s="106" t="b">
        <v>0</v>
      </c>
    </row>
    <row r="41" spans="1:3" x14ac:dyDescent="0.25">
      <c r="A41" s="88" t="s">
        <v>18</v>
      </c>
      <c r="B41" s="107">
        <v>45292</v>
      </c>
      <c r="C41" s="11"/>
    </row>
    <row r="42" spans="1:3" x14ac:dyDescent="0.25">
      <c r="A42" s="88" t="s">
        <v>18</v>
      </c>
      <c r="B42" s="107">
        <v>45658</v>
      </c>
      <c r="C42" s="11"/>
    </row>
    <row r="43" spans="1:3" x14ac:dyDescent="0.25">
      <c r="A43" s="88" t="s">
        <v>18</v>
      </c>
      <c r="B43" s="107">
        <v>46023</v>
      </c>
      <c r="C43" s="11"/>
    </row>
    <row r="44" spans="1:3" x14ac:dyDescent="0.25">
      <c r="A44" s="88" t="s">
        <v>107</v>
      </c>
      <c r="B44" s="105">
        <v>0.02</v>
      </c>
    </row>
    <row r="45" spans="1:3" x14ac:dyDescent="0.25">
      <c r="A45" s="88" t="s">
        <v>107</v>
      </c>
      <c r="B45" s="105">
        <v>2.5000000000000001E-2</v>
      </c>
    </row>
    <row r="46" spans="1:3" x14ac:dyDescent="0.25">
      <c r="A46" s="88" t="s">
        <v>107</v>
      </c>
      <c r="B46" s="105">
        <v>0.03</v>
      </c>
    </row>
    <row r="47" spans="1:3" x14ac:dyDescent="0.25">
      <c r="A47" s="88" t="s">
        <v>108</v>
      </c>
      <c r="B47" s="105">
        <v>0.01</v>
      </c>
    </row>
    <row r="48" spans="1:3" x14ac:dyDescent="0.25">
      <c r="A48" s="88" t="s">
        <v>109</v>
      </c>
      <c r="B48" s="57">
        <v>0.1</v>
      </c>
    </row>
    <row r="49" spans="1:2" x14ac:dyDescent="0.25">
      <c r="A49" s="98" t="s">
        <v>110</v>
      </c>
      <c r="B49" s="48" t="str">
        <f>_xll.qlInterpolatedYoYInflationOptionletVolatilityCurve(B34,B35,B36,B37,B38,B39,B40,B41:B43,B44:B46,B47,B48,B2)</f>
        <v>欣[test_inflation.xlsx]YoYInflationCoupon!R49C2YoYOptionletVolatilitySurfaceHandle,A</v>
      </c>
    </row>
    <row r="50" spans="1:2" x14ac:dyDescent="0.25">
      <c r="A50" s="219" t="s">
        <v>426</v>
      </c>
      <c r="B50" s="194" t="str">
        <f>_xll.qlFlatForward(B1,0.03,"actual365fixed",,,B49)</f>
        <v>欣[test_inflation.xlsx]YoYInflationCoupon!R50C2YieldTermStructureHandle,A</v>
      </c>
    </row>
    <row r="51" spans="1:2" x14ac:dyDescent="0.25">
      <c r="A51" s="92" t="s">
        <v>427</v>
      </c>
      <c r="B51" s="109" t="str">
        <f>_xll.qlYoYInflationCoupon(B4,B5,B6,B7,B8,B14,B15,B16,B17,,,,,B22)</f>
        <v>欣[test_inflation.xlsx]YoYInflationCoupon!R51C2YoYInflationCoupon,A</v>
      </c>
    </row>
    <row r="52" spans="1:2" x14ac:dyDescent="0.25">
      <c r="A52" s="108" t="s">
        <v>428</v>
      </c>
      <c r="B52" s="57" t="str">
        <f>_xll.qlBlackYoYInflationCouponPricer(B49,B50,B51)</f>
        <v>欣[test_inflation.xlsx]YoYInflationCoupon!R52C2BlackYoYInflationCouponPricer,A</v>
      </c>
    </row>
    <row r="53" spans="1:2" x14ac:dyDescent="0.25">
      <c r="A53" s="108" t="s">
        <v>429</v>
      </c>
      <c r="B53" s="57" t="b">
        <f>_xll.qlYoYInflationCouponSetPricer(B51,B52,B52)</f>
        <v>1</v>
      </c>
    </row>
    <row r="54" spans="1:2" x14ac:dyDescent="0.25">
      <c r="A54" s="72" t="s">
        <v>430</v>
      </c>
      <c r="B54" s="56">
        <f>_xll.qlYoYInflationCouponAdjustedFixing(B51,B53)</f>
        <v>1.4972677595628415E-2</v>
      </c>
    </row>
    <row r="55" spans="1:2" x14ac:dyDescent="0.25">
      <c r="A55" s="93" t="s">
        <v>431</v>
      </c>
      <c r="B55" s="50" t="str">
        <f>_xll.qlYoYInflationCoupon(B4,B5,B6,B7,B8,B14,B15,B16,B17,,,,,B22)</f>
        <v>欣[test_inflation.xlsx]YoYInflationCoupon!R55C2YoYInflationCoupon,A</v>
      </c>
    </row>
    <row r="56" spans="1:2" x14ac:dyDescent="0.25">
      <c r="A56" s="108" t="s">
        <v>432</v>
      </c>
      <c r="B56" s="57" t="str">
        <f>_xll.qlBachelierYoYInflationCouponPricer(B49,B50,B55)</f>
        <v>欣[test_inflation.xlsx]YoYInflationCoupon!R56C2BachelierYoYInflationCouponPricer,A</v>
      </c>
    </row>
    <row r="57" spans="1:2" x14ac:dyDescent="0.25">
      <c r="A57" s="108" t="s">
        <v>429</v>
      </c>
      <c r="B57" s="57" t="b">
        <f>_xll.qlYoYInflationCouponSetPricer(B55,B56,B56)</f>
        <v>1</v>
      </c>
    </row>
    <row r="58" spans="1:2" x14ac:dyDescent="0.25">
      <c r="A58" s="72" t="s">
        <v>430</v>
      </c>
      <c r="B58" s="56">
        <f>_xll.qlYoYInflationCouponAdjustedFixing(B55,B57)</f>
        <v>1.4972677595628415E-2</v>
      </c>
    </row>
    <row r="59" spans="1:2" x14ac:dyDescent="0.25">
      <c r="A59" s="92" t="s">
        <v>433</v>
      </c>
      <c r="B59" s="87" t="str">
        <f>_xll.qlYoYInflationCoupon(B4,B5,B6,B7,B8,B14,B15,B16,B17,,,,,B22)</f>
        <v>欣[test_inflation.xlsx]YoYInflationCoupon!R59C2YoYInflationCoupon,A</v>
      </c>
    </row>
    <row r="60" spans="1:2" x14ac:dyDescent="0.25">
      <c r="A60" s="108" t="s">
        <v>434</v>
      </c>
      <c r="B60" s="57" t="str">
        <f>_xll.qlUnitDisplacedBlackYoYInflationCouponPricer(B49,B50,B59)</f>
        <v>欣[test_inflation.xlsx]YoYInflationCoupon!R60C2UnitDisplacedBlackYoYInflationCouponPricer,A</v>
      </c>
    </row>
    <row r="61" spans="1:2" x14ac:dyDescent="0.25">
      <c r="A61" s="108" t="s">
        <v>429</v>
      </c>
      <c r="B61" s="57" t="b">
        <f>_xll.qlYoYInflationCouponSetPricer(B59,B60,B60)</f>
        <v>1</v>
      </c>
    </row>
    <row r="62" spans="1:2" x14ac:dyDescent="0.25">
      <c r="A62" s="72" t="s">
        <v>430</v>
      </c>
      <c r="B62" s="56">
        <f>_xll.qlYoYInflationCouponAdjustedFixing(B59,B61)</f>
        <v>1.4972677595628415E-2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E8DB0-2EA6-4E8C-8436-C5EE830DBD2B}">
  <dimension ref="A1:E77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11.5703125" defaultRowHeight="15" x14ac:dyDescent="0.25"/>
  <cols>
    <col min="1" max="1" width="52.42578125" customWidth="1"/>
    <col min="2" max="2" width="101.7109375" style="4" bestFit="1" customWidth="1"/>
    <col min="3" max="3" width="93" style="4" bestFit="1" customWidth="1"/>
    <col min="4" max="5" width="11.5703125" style="4"/>
  </cols>
  <sheetData>
    <row r="1" spans="1:3" x14ac:dyDescent="0.25">
      <c r="A1" t="s">
        <v>2</v>
      </c>
      <c r="B1" s="2">
        <v>45292</v>
      </c>
    </row>
    <row r="2" spans="1:3" x14ac:dyDescent="0.25">
      <c r="A2" t="s">
        <v>3</v>
      </c>
      <c r="B2" s="2">
        <f>_xll.qlSettingsSetEvaluationDate(B1)</f>
        <v>45292</v>
      </c>
    </row>
    <row r="4" spans="1:3" x14ac:dyDescent="0.25">
      <c r="A4" s="92" t="s">
        <v>91</v>
      </c>
      <c r="B4" s="66">
        <v>45658</v>
      </c>
      <c r="C4" s="46">
        <v>45658</v>
      </c>
    </row>
    <row r="5" spans="1:3" x14ac:dyDescent="0.25">
      <c r="A5" s="93" t="s">
        <v>92</v>
      </c>
      <c r="B5" s="53">
        <v>1000</v>
      </c>
      <c r="C5" s="50">
        <v>1000</v>
      </c>
    </row>
    <row r="6" spans="1:3" x14ac:dyDescent="0.25">
      <c r="A6" s="93" t="s">
        <v>93</v>
      </c>
      <c r="B6" s="52">
        <v>45292</v>
      </c>
      <c r="C6" s="55">
        <v>45292</v>
      </c>
    </row>
    <row r="7" spans="1:3" x14ac:dyDescent="0.25">
      <c r="A7" s="93" t="s">
        <v>94</v>
      </c>
      <c r="B7" s="52">
        <v>45658</v>
      </c>
      <c r="C7" s="55">
        <v>45658</v>
      </c>
    </row>
    <row r="8" spans="1:3" s="4" customFormat="1" x14ac:dyDescent="0.25">
      <c r="A8" s="93" t="s">
        <v>95</v>
      </c>
      <c r="B8" s="53">
        <v>0</v>
      </c>
      <c r="C8" s="50">
        <v>0</v>
      </c>
    </row>
    <row r="9" spans="1:3" s="4" customFormat="1" x14ac:dyDescent="0.25">
      <c r="A9" s="64" t="s">
        <v>18</v>
      </c>
      <c r="B9" s="66">
        <v>45292</v>
      </c>
      <c r="C9" s="46">
        <v>45292</v>
      </c>
    </row>
    <row r="10" spans="1:3" s="4" customFormat="1" x14ac:dyDescent="0.25">
      <c r="A10" s="65" t="s">
        <v>18</v>
      </c>
      <c r="B10" s="52">
        <v>45658</v>
      </c>
      <c r="C10" s="55">
        <v>45658</v>
      </c>
    </row>
    <row r="11" spans="1:3" s="4" customFormat="1" x14ac:dyDescent="0.25">
      <c r="A11" s="65" t="s">
        <v>19</v>
      </c>
      <c r="B11" s="22">
        <v>0.01</v>
      </c>
      <c r="C11" s="57">
        <v>0.03</v>
      </c>
    </row>
    <row r="12" spans="1:3" s="4" customFormat="1" x14ac:dyDescent="0.25">
      <c r="A12" s="65" t="s">
        <v>19</v>
      </c>
      <c r="B12" s="22">
        <v>0.02</v>
      </c>
      <c r="C12" s="57">
        <v>0.02</v>
      </c>
    </row>
    <row r="13" spans="1:3" s="4" customFormat="1" x14ac:dyDescent="0.25">
      <c r="A13" s="65" t="s">
        <v>24</v>
      </c>
      <c r="B13" s="90" t="str">
        <f>_xll.qlYoYInflationCurve($B$1,B9:B10,B11:B12,"semiannual","act/360",,$B$2)</f>
        <v>欣[test_inflation.xlsx]CappedFlooredYoYInflationCoupon!R13C2YoYInflationTermStructureHandle,A</v>
      </c>
      <c r="C13" s="61" t="str">
        <f>_xll.qlYoYInflationCurve($B$1,C9:C10,C11:C12,"semiannual","act/360",,$B$2)</f>
        <v>欣[test_inflation.xlsx]CappedFlooredYoYInflationCoupon!R13C3YoYInflationTermStructureHandle,A</v>
      </c>
    </row>
    <row r="14" spans="1:3" s="14" customFormat="1" x14ac:dyDescent="0.25">
      <c r="A14" s="98" t="s">
        <v>90</v>
      </c>
      <c r="B14" s="80" t="str">
        <f>_xll.qlYYEUHICP(B13,B13)</f>
        <v>欣[test_inflation.xlsx]CappedFlooredYoYInflationCoupon!R14C2YYEUHICP,A</v>
      </c>
      <c r="C14" s="81" t="str">
        <f>_xll.qlYYEUHICP(C13,C13)</f>
        <v>欣[test_inflation.xlsx]CappedFlooredYoYInflationCoupon!R14C3YYEUHICP,A</v>
      </c>
    </row>
    <row r="15" spans="1:3" s="4" customFormat="1" x14ac:dyDescent="0.25">
      <c r="A15" s="94" t="s">
        <v>54</v>
      </c>
      <c r="B15" s="52" t="s">
        <v>17</v>
      </c>
      <c r="C15" s="55" t="s">
        <v>17</v>
      </c>
    </row>
    <row r="16" spans="1:3" s="4" customFormat="1" x14ac:dyDescent="0.25">
      <c r="A16" s="94" t="s">
        <v>96</v>
      </c>
      <c r="B16" s="52" t="s">
        <v>80</v>
      </c>
      <c r="C16" s="55" t="s">
        <v>80</v>
      </c>
    </row>
    <row r="17" spans="1:3" s="4" customFormat="1" x14ac:dyDescent="0.25">
      <c r="A17" s="94" t="s">
        <v>31</v>
      </c>
      <c r="B17" s="22" t="s">
        <v>52</v>
      </c>
      <c r="C17" s="57" t="s">
        <v>52</v>
      </c>
    </row>
    <row r="18" spans="1:3" s="4" customFormat="1" x14ac:dyDescent="0.25">
      <c r="A18" s="94" t="s">
        <v>420</v>
      </c>
      <c r="B18" s="22"/>
      <c r="C18" s="57">
        <v>1</v>
      </c>
    </row>
    <row r="19" spans="1:3" s="4" customFormat="1" x14ac:dyDescent="0.25">
      <c r="A19" s="94" t="s">
        <v>97</v>
      </c>
      <c r="B19" s="90"/>
      <c r="C19" s="61">
        <v>0</v>
      </c>
    </row>
    <row r="20" spans="1:3" s="4" customFormat="1" x14ac:dyDescent="0.25">
      <c r="A20" s="94" t="s">
        <v>115</v>
      </c>
      <c r="B20" s="90"/>
      <c r="C20" s="61">
        <v>0.05</v>
      </c>
    </row>
    <row r="21" spans="1:3" s="4" customFormat="1" x14ac:dyDescent="0.25">
      <c r="A21" s="94" t="s">
        <v>116</v>
      </c>
      <c r="B21" s="90"/>
      <c r="C21" s="61">
        <v>0.02</v>
      </c>
    </row>
    <row r="22" spans="1:3" s="14" customFormat="1" x14ac:dyDescent="0.25">
      <c r="A22" s="94" t="s">
        <v>98</v>
      </c>
      <c r="B22" s="99"/>
      <c r="C22" s="100">
        <v>45292</v>
      </c>
    </row>
    <row r="23" spans="1:3" s="4" customFormat="1" x14ac:dyDescent="0.25">
      <c r="A23" s="101" t="s">
        <v>99</v>
      </c>
      <c r="B23" s="52"/>
      <c r="C23" s="71">
        <v>45658</v>
      </c>
    </row>
    <row r="24" spans="1:3" s="4" customFormat="1" x14ac:dyDescent="0.25">
      <c r="A24" s="111" t="s">
        <v>435</v>
      </c>
      <c r="B24" s="53" t="str">
        <f>_xll.qlCappedFlooredYoYInflationCoupon(B4,B5,B6,B7,B8,B14,B15,B16,B17,,,,,,,B14)</f>
        <v>欣[test_inflation.xlsx]CappedFlooredYoYInflationCoupon!R24C2CappedFlooredYoYInflationCoupon,A</v>
      </c>
      <c r="C24" s="50" t="str">
        <f>_xll.qlCappedFlooredYoYInflationCoupon(C4,C5,C6,C7,C8,C14,C15,C16,C17,C18,C19,C20,C21,C22,C23,C14)</f>
        <v>欣[test_inflation.xlsx]CappedFlooredYoYInflationCoupon!R24C3CappedFlooredYoYInflationCoupon,A</v>
      </c>
    </row>
    <row r="25" spans="1:3" s="4" customFormat="1" x14ac:dyDescent="0.25">
      <c r="A25" s="135" t="s">
        <v>422</v>
      </c>
      <c r="B25" s="250">
        <f>_xll.qlYoYInflationCouponGearing(B24,B24)</f>
        <v>1</v>
      </c>
      <c r="C25" s="251">
        <f>_xll.qlYoYInflationCouponGearing(C24,C24)</f>
        <v>1</v>
      </c>
    </row>
    <row r="26" spans="1:3" s="4" customFormat="1" x14ac:dyDescent="0.25">
      <c r="A26" s="108" t="s">
        <v>423</v>
      </c>
      <c r="B26" s="53">
        <f>_xll.qlYoYInflationCouponSpread(B24,B24)</f>
        <v>0</v>
      </c>
      <c r="C26" s="50">
        <f>_xll.qlYoYInflationCouponSpread(C24,C24)</f>
        <v>0</v>
      </c>
    </row>
    <row r="27" spans="1:3" s="4" customFormat="1" x14ac:dyDescent="0.25">
      <c r="A27" s="137" t="s">
        <v>424</v>
      </c>
      <c r="B27" s="128" t="str">
        <f>_xll.qlYoYInflationCouponYoYIndex(B24,B24)</f>
        <v>欣[test_inflation.xlsx]CappedFlooredYoYInflationCoupon!R27C2YoYInflationIndex,A</v>
      </c>
      <c r="C27" s="252" t="str">
        <f>_xll.qlYoYInflationCouponYoYIndex(C24,C24)</f>
        <v>欣[test_inflation.xlsx]CappedFlooredYoYInflationCoupon!R27C3YoYInflationIndex,A</v>
      </c>
    </row>
    <row r="28" spans="1:3" s="4" customFormat="1" x14ac:dyDescent="0.25">
      <c r="A28" s="108" t="s">
        <v>425</v>
      </c>
      <c r="B28" s="53" t="str">
        <f>_xll.qlYoYInflationCouponInterpolation(B24,B24)</f>
        <v>ASINDEX</v>
      </c>
      <c r="C28" s="50" t="str">
        <f>_xll.qlYoYInflationCouponInterpolation(C24,C24)</f>
        <v>ASINDEX</v>
      </c>
    </row>
    <row r="29" spans="1:3" s="4" customFormat="1" x14ac:dyDescent="0.25">
      <c r="A29" s="253" t="s">
        <v>104</v>
      </c>
      <c r="B29" s="128">
        <f>_xll.qlInflationCouponFixingDate(B24,B24)</f>
        <v>45566</v>
      </c>
      <c r="C29" s="252">
        <f>_xll.qlInflationCouponFixingDate(C24,C24)</f>
        <v>45566</v>
      </c>
    </row>
    <row r="30" spans="1:3" s="4" customFormat="1" x14ac:dyDescent="0.25">
      <c r="A30" s="248" t="s">
        <v>100</v>
      </c>
      <c r="B30" s="53">
        <f>_xll.qlInflationCouponFixingDays(B24,B24)</f>
        <v>0</v>
      </c>
      <c r="C30" s="50">
        <f>_xll.qlInflationCouponFixingDays(C24,C24)</f>
        <v>0</v>
      </c>
    </row>
    <row r="31" spans="1:3" s="4" customFormat="1" x14ac:dyDescent="0.25">
      <c r="A31" s="137" t="s">
        <v>101</v>
      </c>
      <c r="B31" s="74" t="str">
        <f>_xll.qlInflationCouponIndex(B24,B24)</f>
        <v>欣[test_inflation.xlsx]CappedFlooredYoYInflationCoupon!R31C2InflationIndex,A</v>
      </c>
      <c r="C31" s="75" t="str">
        <f>_xll.qlInflationCouponIndex(C24,C24)</f>
        <v>欣[test_inflation.xlsx]CappedFlooredYoYInflationCoupon!R31C3InflationIndex,A</v>
      </c>
    </row>
    <row r="32" spans="1:3" s="4" customFormat="1" x14ac:dyDescent="0.25">
      <c r="A32" s="108" t="s">
        <v>102</v>
      </c>
      <c r="B32" s="53">
        <f>_xll.qlInflationCouponIndexFixing(B24,B24)</f>
        <v>1.4972677595628415E-2</v>
      </c>
      <c r="C32" s="50">
        <f>_xll.qlInflationCouponIndexFixing(C24,C24)</f>
        <v>2.5027322404371583E-2</v>
      </c>
    </row>
    <row r="33" spans="1:3" s="4" customFormat="1" x14ac:dyDescent="0.25">
      <c r="A33" s="137" t="s">
        <v>103</v>
      </c>
      <c r="B33" s="128" t="str">
        <f>_xll.qlInflationCouponObservationLag(B24,B24)</f>
        <v>3M</v>
      </c>
      <c r="C33" s="252" t="str">
        <f>_xll.qlInflationCouponObservationLag(C24,C24)</f>
        <v>3M</v>
      </c>
    </row>
    <row r="34" spans="1:3" s="4" customFormat="1" x14ac:dyDescent="0.25">
      <c r="A34" s="249" t="s">
        <v>436</v>
      </c>
      <c r="B34" s="134">
        <f>_xll.qlCappedFlooredYoYInflationCouponCap(B24,B24)</f>
        <v>3.4028234663852886E+38</v>
      </c>
      <c r="C34" s="162">
        <f>_xll.qlCappedFlooredYoYInflationCouponCap(C24,C24)</f>
        <v>0.05</v>
      </c>
    </row>
    <row r="35" spans="1:3" s="4" customFormat="1" x14ac:dyDescent="0.25">
      <c r="A35" s="254" t="s">
        <v>437</v>
      </c>
      <c r="B35" s="141">
        <f>_xll.qlCappedFlooredYoYInflationCouponFloor(B24,B24)</f>
        <v>3.4028234663852886E+38</v>
      </c>
      <c r="C35" s="255">
        <f>_xll.qlCappedFlooredYoYInflationCouponFloor(C24,C24)</f>
        <v>0.02</v>
      </c>
    </row>
    <row r="36" spans="1:3" s="4" customFormat="1" x14ac:dyDescent="0.25">
      <c r="A36" s="108" t="s">
        <v>438</v>
      </c>
      <c r="B36" s="53">
        <f>_xll.qlCappedFlooredYoYInflationCouponEffectiveCap(B24,B24)</f>
        <v>0</v>
      </c>
      <c r="C36" s="50">
        <f>_xll.qlCappedFlooredYoYInflationCouponEffectiveCap(C24,C24)</f>
        <v>0.05</v>
      </c>
    </row>
    <row r="37" spans="1:3" s="4" customFormat="1" x14ac:dyDescent="0.25">
      <c r="A37" s="137" t="s">
        <v>439</v>
      </c>
      <c r="B37" s="136">
        <f>_xll.qlCappedFlooredYoYInflationCouponEffectiveFloor(B24,B24)</f>
        <v>0</v>
      </c>
      <c r="C37" s="201">
        <f>_xll.qlCappedFlooredYoYInflationCouponEffectiveFloor(C24,C24)</f>
        <v>0.02</v>
      </c>
    </row>
    <row r="38" spans="1:3" s="4" customFormat="1" x14ac:dyDescent="0.25">
      <c r="A38" s="108" t="s">
        <v>440</v>
      </c>
      <c r="B38" s="52" t="b">
        <f>_xll.qlCappedFlooredYoYInflationCouponIsCapped(B24,B24)</f>
        <v>0</v>
      </c>
      <c r="C38" s="55" t="b">
        <f>_xll.qlCappedFlooredYoYInflationCouponIsCapped(C24,C24)</f>
        <v>1</v>
      </c>
    </row>
    <row r="39" spans="1:3" s="4" customFormat="1" x14ac:dyDescent="0.25">
      <c r="A39" s="137" t="s">
        <v>441</v>
      </c>
      <c r="B39" s="128" t="b">
        <f>_xll.qlCappedFlooredYoYInflationCouponIsFloored(B24,B24)</f>
        <v>0</v>
      </c>
      <c r="C39" s="252" t="b">
        <f>_xll.qlCappedFlooredYoYInflationCouponIsFloored(C24,C24)</f>
        <v>1</v>
      </c>
    </row>
    <row r="40" spans="1:3" s="4" customFormat="1" x14ac:dyDescent="0.25">
      <c r="A40" s="10"/>
      <c r="B40" s="2"/>
      <c r="C40" s="2"/>
    </row>
    <row r="41" spans="1:3" s="4" customFormat="1" x14ac:dyDescent="0.25">
      <c r="A41" s="10"/>
      <c r="B41" s="2"/>
      <c r="C41" s="2"/>
    </row>
    <row r="42" spans="1:3" s="4" customFormat="1" x14ac:dyDescent="0.25">
      <c r="A42" s="10"/>
      <c r="B42" s="2"/>
      <c r="C42" s="2"/>
    </row>
    <row r="43" spans="1:3" s="4" customFormat="1" x14ac:dyDescent="0.25">
      <c r="A43" s="85" t="s">
        <v>105</v>
      </c>
      <c r="B43" s="104">
        <v>2</v>
      </c>
      <c r="C43" s="2"/>
    </row>
    <row r="44" spans="1:3" s="4" customFormat="1" x14ac:dyDescent="0.25">
      <c r="A44" s="88" t="s">
        <v>75</v>
      </c>
      <c r="B44" s="105" t="s">
        <v>78</v>
      </c>
    </row>
    <row r="45" spans="1:3" s="4" customFormat="1" x14ac:dyDescent="0.25">
      <c r="A45" s="88" t="s">
        <v>76</v>
      </c>
      <c r="B45" s="105" t="s">
        <v>79</v>
      </c>
    </row>
    <row r="46" spans="1:3" s="4" customFormat="1" x14ac:dyDescent="0.25">
      <c r="A46" s="88" t="s">
        <v>31</v>
      </c>
      <c r="B46" s="106" t="s">
        <v>52</v>
      </c>
      <c r="C46" s="2"/>
    </row>
    <row r="47" spans="1:3" s="4" customFormat="1" x14ac:dyDescent="0.25">
      <c r="A47" s="88" t="s">
        <v>73</v>
      </c>
      <c r="B47" s="106" t="s">
        <v>17</v>
      </c>
      <c r="C47" s="2"/>
    </row>
    <row r="48" spans="1:3" s="4" customFormat="1" x14ac:dyDescent="0.25">
      <c r="A48" s="88" t="s">
        <v>12</v>
      </c>
      <c r="B48" s="106" t="s">
        <v>81</v>
      </c>
    </row>
    <row r="49" spans="1:3" s="4" customFormat="1" x14ac:dyDescent="0.25">
      <c r="A49" s="88" t="s">
        <v>106</v>
      </c>
      <c r="B49" s="106" t="b">
        <v>0</v>
      </c>
    </row>
    <row r="50" spans="1:3" s="4" customFormat="1" x14ac:dyDescent="0.25">
      <c r="A50" s="88" t="s">
        <v>18</v>
      </c>
      <c r="B50" s="107">
        <v>45292</v>
      </c>
      <c r="C50" s="11"/>
    </row>
    <row r="51" spans="1:3" s="4" customFormat="1" x14ac:dyDescent="0.25">
      <c r="A51" s="88"/>
      <c r="B51" s="107">
        <v>45658</v>
      </c>
      <c r="C51" s="11"/>
    </row>
    <row r="52" spans="1:3" s="4" customFormat="1" x14ac:dyDescent="0.25">
      <c r="A52" s="88"/>
      <c r="B52" s="107">
        <v>46023</v>
      </c>
      <c r="C52" s="11"/>
    </row>
    <row r="53" spans="1:3" s="4" customFormat="1" x14ac:dyDescent="0.25">
      <c r="A53" s="88" t="s">
        <v>107</v>
      </c>
      <c r="B53" s="105">
        <v>0.02</v>
      </c>
    </row>
    <row r="54" spans="1:3" s="4" customFormat="1" x14ac:dyDescent="0.25">
      <c r="A54" s="88"/>
      <c r="B54" s="105">
        <v>2.5000000000000001E-2</v>
      </c>
    </row>
    <row r="55" spans="1:3" s="4" customFormat="1" x14ac:dyDescent="0.25">
      <c r="A55" s="88"/>
      <c r="B55" s="105">
        <v>0.03</v>
      </c>
    </row>
    <row r="56" spans="1:3" s="4" customFormat="1" x14ac:dyDescent="0.25">
      <c r="A56" s="88" t="s">
        <v>108</v>
      </c>
      <c r="B56" s="105">
        <v>0.01</v>
      </c>
    </row>
    <row r="57" spans="1:3" s="4" customFormat="1" x14ac:dyDescent="0.25">
      <c r="A57" s="88" t="s">
        <v>109</v>
      </c>
      <c r="B57" s="57">
        <v>0.1</v>
      </c>
    </row>
    <row r="58" spans="1:3" s="4" customFormat="1" x14ac:dyDescent="0.25">
      <c r="A58" s="98" t="s">
        <v>110</v>
      </c>
      <c r="B58" s="48" t="str">
        <f>_xll.qlInterpolatedYoYInflationOptionletVolatilityCurve(B43,B44,B45,B46,B47,B48,B49,B50:B52,B53:B55,B56,B57,B2)</f>
        <v>欣[test_inflation.xlsx]CappedFlooredYoYInflationCoupon!R58C2YoYOptionletVolatilitySurfaceHandle,A</v>
      </c>
    </row>
    <row r="59" spans="1:3" s="4" customFormat="1" x14ac:dyDescent="0.25">
      <c r="A59" s="220" t="s">
        <v>426</v>
      </c>
      <c r="B59" s="75" t="str">
        <f>_xll.qlFlatForward(B1,0.03,"actual365fixed",,,B58)</f>
        <v>欣[test_inflation.xlsx]CappedFlooredYoYInflationCoupon!R59C2YieldTermStructureHandle,A</v>
      </c>
    </row>
    <row r="60" spans="1:3" s="4" customFormat="1" x14ac:dyDescent="0.25">
      <c r="A60" s="92" t="s">
        <v>427</v>
      </c>
      <c r="B60" s="109" t="str">
        <f>_xll.qlCappedFlooredYoYInflationCoupon(B4,B5,B6,B7,B8,B14,B15,B16,B17,,,,,,,B24)</f>
        <v>欣[test_inflation.xlsx]CappedFlooredYoYInflationCoupon!R60C2CappedFlooredYoYInflationCoupon,A</v>
      </c>
    </row>
    <row r="61" spans="1:3" s="4" customFormat="1" x14ac:dyDescent="0.25">
      <c r="A61" s="108" t="s">
        <v>428</v>
      </c>
      <c r="B61" s="57" t="str">
        <f>_xll.qlBlackYoYInflationCouponPricer(B58,B59,B60)</f>
        <v>欣[test_inflation.xlsx]CappedFlooredYoYInflationCoupon!R61C2BlackYoYInflationCouponPricer,A</v>
      </c>
    </row>
    <row r="62" spans="1:3" s="4" customFormat="1" x14ac:dyDescent="0.25">
      <c r="A62" s="108" t="s">
        <v>429</v>
      </c>
      <c r="B62" s="57" t="b">
        <f>_xll.qlYoYInflationCouponSetPricer(B60,B61,B61)</f>
        <v>1</v>
      </c>
    </row>
    <row r="63" spans="1:3" s="4" customFormat="1" x14ac:dyDescent="0.25">
      <c r="A63" s="108" t="s">
        <v>430</v>
      </c>
      <c r="B63" s="50">
        <f>_xll.qlYoYInflationCouponAdjustedFixing(B60,B62)</f>
        <v>1.4972677595628415E-2</v>
      </c>
    </row>
    <row r="64" spans="1:3" s="4" customFormat="1" x14ac:dyDescent="0.25">
      <c r="A64" s="108" t="s">
        <v>442</v>
      </c>
      <c r="B64" s="50">
        <f>_xll.qlCappedFlooredYoYInflationCouponRate(B60,B62)</f>
        <v>1.4972677595628415E-2</v>
      </c>
    </row>
    <row r="65" spans="1:2" s="4" customFormat="1" x14ac:dyDescent="0.25">
      <c r="A65" s="72" t="s">
        <v>443</v>
      </c>
      <c r="B65" s="56">
        <f>_xll.qlCappedFlooredYoYInflationCouponUnderlyingRate(B60,B62)</f>
        <v>1.4972677595628415E-2</v>
      </c>
    </row>
    <row r="66" spans="1:2" s="4" customFormat="1" x14ac:dyDescent="0.25">
      <c r="A66" s="110" t="s">
        <v>431</v>
      </c>
      <c r="B66" s="221" t="str">
        <f>_xll.qlCappedFlooredYoYInflationCoupon(B4,B5,B6,B7,B8,B14,B15,B16,B17,,,,,,,B24)</f>
        <v>欣[test_inflation.xlsx]CappedFlooredYoYInflationCoupon!R66C2CappedFlooredYoYInflationCoupon,A</v>
      </c>
    </row>
    <row r="67" spans="1:2" s="4" customFormat="1" x14ac:dyDescent="0.25">
      <c r="A67" s="111" t="s">
        <v>432</v>
      </c>
      <c r="B67" s="61" t="str">
        <f>_xll.qlBachelierYoYInflationCouponPricer(B58,B59,B66)</f>
        <v>欣[test_inflation.xlsx]CappedFlooredYoYInflationCoupon!R67C2BachelierYoYInflationCouponPricer,A</v>
      </c>
    </row>
    <row r="68" spans="1:2" s="4" customFormat="1" x14ac:dyDescent="0.25">
      <c r="A68" s="111" t="s">
        <v>429</v>
      </c>
      <c r="B68" s="61" t="b">
        <f>_xll.qlYoYInflationCouponSetPricer(B66,B67,B67)</f>
        <v>1</v>
      </c>
    </row>
    <row r="69" spans="1:2" s="4" customFormat="1" x14ac:dyDescent="0.25">
      <c r="A69" s="111" t="s">
        <v>430</v>
      </c>
      <c r="B69" s="112">
        <f>_xll.qlYoYInflationCouponAdjustedFixing(B66,B68)</f>
        <v>1.4972677595628415E-2</v>
      </c>
    </row>
    <row r="70" spans="1:2" s="4" customFormat="1" x14ac:dyDescent="0.25">
      <c r="A70" s="111" t="s">
        <v>442</v>
      </c>
      <c r="B70" s="112">
        <f>_xll.qlCappedFlooredYoYInflationCouponRate(B66,B68)</f>
        <v>1.4972677595628415E-2</v>
      </c>
    </row>
    <row r="71" spans="1:2" s="4" customFormat="1" x14ac:dyDescent="0.25">
      <c r="A71" s="102" t="s">
        <v>443</v>
      </c>
      <c r="B71" s="222">
        <f>_xll.qlCappedFlooredYoYInflationCouponUnderlyingRate(B66,B68)</f>
        <v>1.4972677595628415E-2</v>
      </c>
    </row>
    <row r="72" spans="1:2" s="4" customFormat="1" x14ac:dyDescent="0.25">
      <c r="A72" s="92" t="s">
        <v>433</v>
      </c>
      <c r="B72" s="87" t="str">
        <f>_xll.qlCappedFlooredYoYInflationCoupon(B4,B5,B6,B7,B8,B14,B15,B16,B17,,,,,,,B24)</f>
        <v>欣[test_inflation.xlsx]CappedFlooredYoYInflationCoupon!R72C2CappedFlooredYoYInflationCoupon,A</v>
      </c>
    </row>
    <row r="73" spans="1:2" s="4" customFormat="1" x14ac:dyDescent="0.25">
      <c r="A73" s="108" t="s">
        <v>434</v>
      </c>
      <c r="B73" s="57" t="str">
        <f>_xll.qlUnitDisplacedBlackYoYInflationCouponPricer(B58,B59,B72)</f>
        <v>欣[test_inflation.xlsx]CappedFlooredYoYInflationCoupon!R73C2UnitDisplacedBlackYoYInflationCouponPricer,A</v>
      </c>
    </row>
    <row r="74" spans="1:2" s="4" customFormat="1" x14ac:dyDescent="0.25">
      <c r="A74" s="108" t="s">
        <v>429</v>
      </c>
      <c r="B74" s="223" t="b">
        <f>_xll.qlYoYInflationCouponSetPricer(B72,B73,B73)</f>
        <v>1</v>
      </c>
    </row>
    <row r="75" spans="1:2" s="4" customFormat="1" x14ac:dyDescent="0.25">
      <c r="A75" s="108" t="s">
        <v>430</v>
      </c>
      <c r="B75" s="50">
        <f>_xll.qlYoYInflationCouponAdjustedFixing(B72,B74)</f>
        <v>1.4972677595628415E-2</v>
      </c>
    </row>
    <row r="76" spans="1:2" x14ac:dyDescent="0.25">
      <c r="A76" s="108" t="s">
        <v>442</v>
      </c>
      <c r="B76" s="50">
        <f>_xll.qlCappedFlooredYoYInflationCouponRate(B72,B74)</f>
        <v>1.4972677595628415E-2</v>
      </c>
    </row>
    <row r="77" spans="1:2" x14ac:dyDescent="0.25">
      <c r="A77" s="72" t="s">
        <v>443</v>
      </c>
      <c r="B77" s="56">
        <f>_xll.qlCappedFlooredYoYInflationCouponUnderlyingRate(B72,B74)</f>
        <v>1.4972677595628415E-2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35DFB-741F-485C-A49C-059290E6D845}">
  <dimension ref="A1:E130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52.42578125" customWidth="1"/>
    <col min="2" max="2" width="87" style="4" customWidth="1"/>
    <col min="3" max="3" width="86.7109375" style="4" customWidth="1"/>
    <col min="4" max="5" width="11.5703125" style="4"/>
  </cols>
  <sheetData>
    <row r="1" spans="1:4" x14ac:dyDescent="0.25">
      <c r="A1" t="s">
        <v>2</v>
      </c>
      <c r="B1" s="2">
        <v>45292</v>
      </c>
      <c r="C1" s="12"/>
      <c r="D1" s="11"/>
    </row>
    <row r="2" spans="1:4" x14ac:dyDescent="0.25">
      <c r="A2" t="s">
        <v>3</v>
      </c>
      <c r="B2" s="2">
        <f>_xll.qlSettingsSetEvaluationDate(B1)</f>
        <v>45292</v>
      </c>
      <c r="C2" s="7"/>
      <c r="D2" s="11"/>
    </row>
    <row r="4" spans="1:4" x14ac:dyDescent="0.25">
      <c r="A4" s="49" t="s">
        <v>119</v>
      </c>
      <c r="B4" s="19">
        <v>100</v>
      </c>
      <c r="C4" s="109">
        <v>100</v>
      </c>
    </row>
    <row r="5" spans="1:4" s="4" customFormat="1" x14ac:dyDescent="0.25">
      <c r="A5" s="93" t="s">
        <v>91</v>
      </c>
      <c r="B5" s="52">
        <v>45839</v>
      </c>
      <c r="C5" s="55">
        <v>45658</v>
      </c>
    </row>
    <row r="6" spans="1:4" s="4" customFormat="1" x14ac:dyDescent="0.25">
      <c r="A6" s="93" t="s">
        <v>92</v>
      </c>
      <c r="B6" s="53">
        <v>1000</v>
      </c>
      <c r="C6" s="50">
        <v>1000</v>
      </c>
    </row>
    <row r="7" spans="1:4" s="4" customFormat="1" x14ac:dyDescent="0.25">
      <c r="A7" s="93" t="s">
        <v>93</v>
      </c>
      <c r="B7" s="52">
        <v>45474</v>
      </c>
      <c r="C7" s="55">
        <v>45474</v>
      </c>
    </row>
    <row r="8" spans="1:4" s="4" customFormat="1" x14ac:dyDescent="0.25">
      <c r="A8" s="93" t="s">
        <v>94</v>
      </c>
      <c r="B8" s="52">
        <v>45839</v>
      </c>
      <c r="C8" s="55">
        <v>45839</v>
      </c>
    </row>
    <row r="9" spans="1:4" s="4" customFormat="1" x14ac:dyDescent="0.25">
      <c r="A9" s="64" t="s">
        <v>18</v>
      </c>
      <c r="B9" s="66">
        <v>45200</v>
      </c>
      <c r="C9" s="46">
        <v>45200</v>
      </c>
    </row>
    <row r="10" spans="1:4" s="4" customFormat="1" x14ac:dyDescent="0.25">
      <c r="A10" s="65" t="s">
        <v>18</v>
      </c>
      <c r="B10" s="52">
        <v>47392</v>
      </c>
      <c r="C10" s="55">
        <v>47392</v>
      </c>
    </row>
    <row r="11" spans="1:4" s="4" customFormat="1" x14ac:dyDescent="0.25">
      <c r="A11" s="65" t="s">
        <v>19</v>
      </c>
      <c r="B11" s="22">
        <v>0.02</v>
      </c>
      <c r="C11" s="57">
        <v>0.03</v>
      </c>
    </row>
    <row r="12" spans="1:4" s="4" customFormat="1" x14ac:dyDescent="0.25">
      <c r="A12" s="65" t="s">
        <v>19</v>
      </c>
      <c r="B12" s="22">
        <v>0.02</v>
      </c>
      <c r="C12" s="57">
        <v>0.02</v>
      </c>
    </row>
    <row r="13" spans="1:4" s="4" customFormat="1" x14ac:dyDescent="0.25">
      <c r="A13" s="65" t="s">
        <v>15</v>
      </c>
      <c r="B13" s="90" t="str">
        <f>_xll.qlZeroInflationCurve($B$1,B9:B10,B11:B12,"annual","act/360",,$B$2)</f>
        <v>欣[test_inflation.xlsx]CPICoupon!R13C2ZeroInflationTermStructureHandle,A</v>
      </c>
      <c r="C13" s="61" t="str">
        <f>_xll.qlZeroInflationCurve($B$1,C9:C10,C11:C12,"annual","act/360",,$B$2)</f>
        <v>欣[test_inflation.xlsx]CPICoupon!R13C3ZeroInflationTermStructureHandle,A</v>
      </c>
    </row>
    <row r="14" spans="1:4" s="14" customFormat="1" x14ac:dyDescent="0.25">
      <c r="A14" s="113" t="s">
        <v>135</v>
      </c>
      <c r="B14" s="114" t="str">
        <f>_xll.qlEUHICP(B13,B13)</f>
        <v>欣[test_inflation.xlsx]CPICoupon!R14C2EUHICP,A</v>
      </c>
      <c r="C14" s="115" t="str">
        <f>_xll.qlEUHICP(C13,C13)</f>
        <v>欣[test_inflation.xlsx]CPICoupon!R14C3EUHICP,A</v>
      </c>
    </row>
    <row r="15" spans="1:4" s="14" customFormat="1" x14ac:dyDescent="0.25">
      <c r="A15" s="64" t="s">
        <v>14</v>
      </c>
      <c r="B15" s="116">
        <v>45200</v>
      </c>
      <c r="C15" s="117">
        <v>45200</v>
      </c>
    </row>
    <row r="16" spans="1:4" s="14" customFormat="1" x14ac:dyDescent="0.25">
      <c r="A16" s="65" t="s">
        <v>22</v>
      </c>
      <c r="B16" s="118">
        <v>100</v>
      </c>
      <c r="C16" s="112">
        <v>100</v>
      </c>
    </row>
    <row r="17" spans="1:3" s="14" customFormat="1" x14ac:dyDescent="0.25">
      <c r="A17" s="113" t="s">
        <v>21</v>
      </c>
      <c r="B17" s="83" t="b">
        <f>_xll.qlIndexAddFixing(B14,B15,B16,,B14)</f>
        <v>1</v>
      </c>
      <c r="C17" s="63" t="b">
        <f>_xll.qlIndexAddFixing(C14,C15,C16,,C14)</f>
        <v>1</v>
      </c>
    </row>
    <row r="18" spans="1:3" s="4" customFormat="1" x14ac:dyDescent="0.25">
      <c r="A18" s="94" t="s">
        <v>54</v>
      </c>
      <c r="B18" s="52" t="s">
        <v>17</v>
      </c>
      <c r="C18" s="55" t="s">
        <v>17</v>
      </c>
    </row>
    <row r="19" spans="1:3" s="4" customFormat="1" x14ac:dyDescent="0.25">
      <c r="A19" s="94" t="s">
        <v>77</v>
      </c>
      <c r="B19" s="52" t="s">
        <v>80</v>
      </c>
      <c r="C19" s="55" t="s">
        <v>80</v>
      </c>
    </row>
    <row r="20" spans="1:3" s="4" customFormat="1" x14ac:dyDescent="0.25">
      <c r="A20" s="94" t="s">
        <v>31</v>
      </c>
      <c r="B20" s="22" t="s">
        <v>52</v>
      </c>
      <c r="C20" s="57" t="s">
        <v>52</v>
      </c>
    </row>
    <row r="21" spans="1:3" s="4" customFormat="1" x14ac:dyDescent="0.25">
      <c r="A21" s="94" t="s">
        <v>120</v>
      </c>
      <c r="B21" s="22">
        <v>0.02</v>
      </c>
      <c r="C21" s="57">
        <v>0.02</v>
      </c>
    </row>
    <row r="22" spans="1:3" s="14" customFormat="1" x14ac:dyDescent="0.25">
      <c r="A22" s="94" t="s">
        <v>98</v>
      </c>
      <c r="B22" s="99"/>
      <c r="C22" s="100">
        <v>45292</v>
      </c>
    </row>
    <row r="23" spans="1:3" s="4" customFormat="1" x14ac:dyDescent="0.25">
      <c r="A23" s="101" t="s">
        <v>99</v>
      </c>
      <c r="B23" s="52"/>
      <c r="C23" s="71">
        <v>45658</v>
      </c>
    </row>
    <row r="24" spans="1:3" s="4" customFormat="1" x14ac:dyDescent="0.25">
      <c r="A24" s="101" t="s">
        <v>121</v>
      </c>
      <c r="B24" s="52"/>
      <c r="C24" s="71">
        <v>45493</v>
      </c>
    </row>
    <row r="25" spans="1:3" s="4" customFormat="1" x14ac:dyDescent="0.25">
      <c r="A25" s="111" t="s">
        <v>122</v>
      </c>
      <c r="B25" s="52" t="str">
        <f>_xll.qlCPICoupon(B4,B5,B6,B7,B8,B14,B18,B19,B20,B21,,,,B17)</f>
        <v>欣[test_inflation.xlsx]CPICoupon!R25C2CPICoupon,A</v>
      </c>
      <c r="C25" s="55" t="str">
        <f>_xll.qlCPICoupon(C4,C5,C6,C7,C8,C14,C18,C19,C20,C21,C22,C23,C24,C17)</f>
        <v>欣[test_inflation.xlsx]CPICoupon!R25C3CPICoupon,A</v>
      </c>
    </row>
    <row r="26" spans="1:3" s="4" customFormat="1" x14ac:dyDescent="0.25">
      <c r="A26" s="256" t="s">
        <v>104</v>
      </c>
      <c r="B26" s="66">
        <f>_xll.qlInflationCouponFixingDate(B25,B25)</f>
        <v>45748</v>
      </c>
      <c r="C26" s="46">
        <f>_xll.qlInflationCouponFixingDate(C25,C25)</f>
        <v>45566</v>
      </c>
    </row>
    <row r="27" spans="1:3" s="4" customFormat="1" x14ac:dyDescent="0.25">
      <c r="A27" s="253" t="s">
        <v>100</v>
      </c>
      <c r="B27" s="136">
        <f>_xll.qlInflationCouponFixingDays(B25,B25)</f>
        <v>0</v>
      </c>
      <c r="C27" s="201">
        <f>_xll.qlInflationCouponFixingDays(C25,C25)</f>
        <v>0</v>
      </c>
    </row>
    <row r="28" spans="1:3" s="4" customFormat="1" x14ac:dyDescent="0.25">
      <c r="A28" s="108" t="s">
        <v>101</v>
      </c>
      <c r="B28" s="22" t="str">
        <f>_xll.qlInflationCouponIndex(B25,B25)</f>
        <v>欣[test_inflation.xlsx]CPICoupon!R28C2InflationIndex,A</v>
      </c>
      <c r="C28" s="57" t="str">
        <f>_xll.qlInflationCouponIndex(C25,C25)</f>
        <v>欣[test_inflation.xlsx]CPICoupon!R28C3InflationIndex,A</v>
      </c>
    </row>
    <row r="29" spans="1:3" s="4" customFormat="1" x14ac:dyDescent="0.25">
      <c r="A29" s="137" t="s">
        <v>102</v>
      </c>
      <c r="B29" s="136">
        <f>_xll.qlInflationCouponIndexFixing(B25,B25)</f>
        <v>103.06029293987548</v>
      </c>
      <c r="C29" s="201">
        <f>_xll.qlInflationCouponIndexFixing(C25,C25)</f>
        <v>104.2794377537428</v>
      </c>
    </row>
    <row r="30" spans="1:3" s="4" customFormat="1" ht="16.5" customHeight="1" x14ac:dyDescent="0.25">
      <c r="A30" s="108" t="s">
        <v>103</v>
      </c>
      <c r="B30" s="52" t="str">
        <f>_xll.qlInflationCouponObservationLag(B25,B25)</f>
        <v>3M</v>
      </c>
      <c r="C30" s="55" t="str">
        <f>_xll.qlInflationCouponObservationLag(C25,C25)</f>
        <v>3M</v>
      </c>
    </row>
    <row r="31" spans="1:3" s="4" customFormat="1" ht="16.5" customHeight="1" x14ac:dyDescent="0.25">
      <c r="A31" s="137" t="s">
        <v>123</v>
      </c>
      <c r="B31" s="136">
        <f>_xll.qlCPICouponFixedRate(B25,B25)</f>
        <v>0.02</v>
      </c>
      <c r="C31" s="201">
        <f>_xll.qlCPICouponFixedRate(C25,C25)</f>
        <v>0.02</v>
      </c>
    </row>
    <row r="32" spans="1:3" s="4" customFormat="1" ht="16.5" customHeight="1" x14ac:dyDescent="0.25">
      <c r="A32" s="108" t="s">
        <v>125</v>
      </c>
      <c r="B32" s="53">
        <f>_xll.qlCPICouponIndexFixing(B25,B25)</f>
        <v>103.06029293987548</v>
      </c>
      <c r="C32" s="50">
        <f>_xll.qlCPICouponIndexFixing(C25,C25)</f>
        <v>104.2794377537428</v>
      </c>
    </row>
    <row r="33" spans="1:3" s="4" customFormat="1" ht="16.5" customHeight="1" x14ac:dyDescent="0.25">
      <c r="A33" s="64" t="s">
        <v>131</v>
      </c>
      <c r="B33" s="66">
        <v>45444</v>
      </c>
      <c r="C33" s="46">
        <v>45444</v>
      </c>
    </row>
    <row r="34" spans="1:3" s="4" customFormat="1" ht="16.5" customHeight="1" x14ac:dyDescent="0.25">
      <c r="A34" s="72" t="s">
        <v>126</v>
      </c>
      <c r="B34" s="91">
        <f>_xll.qlCPICouponIndexRatio(B25,B33,B25)</f>
        <v>1.0083961609994694</v>
      </c>
      <c r="C34" s="56">
        <f>_xll.qlCPICouponIndexRatio(C25,C33,C25)</f>
        <v>1.0123843583565788</v>
      </c>
    </row>
    <row r="35" spans="1:3" s="4" customFormat="1" ht="16.5" customHeight="1" x14ac:dyDescent="0.25">
      <c r="A35" s="108" t="s">
        <v>127</v>
      </c>
      <c r="B35" s="53">
        <f>_xll.qlCPICouponBaseCPI(B25,B25)</f>
        <v>100</v>
      </c>
      <c r="C35" s="50">
        <f>_xll.qlCPICouponBaseCPI(C25,C25)</f>
        <v>100</v>
      </c>
    </row>
    <row r="36" spans="1:3" s="4" customFormat="1" ht="16.5" customHeight="1" x14ac:dyDescent="0.25">
      <c r="A36" s="137" t="s">
        <v>128</v>
      </c>
      <c r="B36" s="136">
        <f>_xll.qlCPICouponBaseDate(B25,B25)</f>
        <v>0</v>
      </c>
      <c r="C36" s="201">
        <f>_xll.qlCPICouponBaseDate(C25,C25)</f>
        <v>0</v>
      </c>
    </row>
    <row r="37" spans="1:3" s="4" customFormat="1" ht="16.5" customHeight="1" x14ac:dyDescent="0.25">
      <c r="A37" s="108" t="s">
        <v>129</v>
      </c>
      <c r="B37" s="53" t="str">
        <f>_xll.qlCPICouponObservationInterpolation(B25,B25)</f>
        <v>ASINDEX</v>
      </c>
      <c r="C37" s="50" t="str">
        <f>_xll.qlCPICouponObservationInterpolation(C25,C25)</f>
        <v>ASINDEX</v>
      </c>
    </row>
    <row r="38" spans="1:3" s="4" customFormat="1" ht="16.5" customHeight="1" x14ac:dyDescent="0.25">
      <c r="A38" s="137" t="s">
        <v>130</v>
      </c>
      <c r="B38" s="128" t="str">
        <f>_xll.qlCPICouponCPIIndex(B25,B25)</f>
        <v>欣[test_inflation.xlsx]CPICoupon!R38C2ZeroInflationIndex,A</v>
      </c>
      <c r="C38" s="252" t="str">
        <f>_xll.qlCPICouponCPIIndex(C25,C25)</f>
        <v>欣[test_inflation.xlsx]CPICoupon!R38C3ZeroInflationIndex,A</v>
      </c>
    </row>
    <row r="39" spans="1:3" s="4" customFormat="1" ht="16.5" customHeight="1" x14ac:dyDescent="0.25">
      <c r="A39" s="108" t="s">
        <v>132</v>
      </c>
      <c r="B39" s="52" t="str">
        <f>_xll.qlCPICouponPricer(B25)</f>
        <v>欣[test_inflation.xlsx]CPICoupon!R39C2CPICouponPricer,A</v>
      </c>
      <c r="C39" s="55" t="str">
        <f>_xll.qlCPICouponPricer(C25)</f>
        <v>欣[test_inflation.xlsx]CPICoupon!R39C3CPICouponPricer,A</v>
      </c>
    </row>
    <row r="40" spans="1:3" s="4" customFormat="1" x14ac:dyDescent="0.25">
      <c r="A40" s="108" t="s">
        <v>133</v>
      </c>
      <c r="B40" s="238" t="b">
        <f>_xll.qlCPICouponSetPricer(B25,B39,B39)</f>
        <v>1</v>
      </c>
      <c r="C40" s="257" t="b">
        <f>_xll.qlCPICouponSetPricer(C25,C39,C39)</f>
        <v>1</v>
      </c>
    </row>
    <row r="41" spans="1:3" s="4" customFormat="1" x14ac:dyDescent="0.25">
      <c r="A41" s="72" t="s">
        <v>124</v>
      </c>
      <c r="B41" s="91">
        <f>_xll.qlCPICouponAdjustedIndexGrowth(B25,B40)</f>
        <v>1.0306029293987549</v>
      </c>
      <c r="C41" s="56">
        <f>_xll.qlCPICouponAdjustedIndexGrowth(C25,C40)</f>
        <v>1.042794377537428</v>
      </c>
    </row>
    <row r="42" spans="1:3" s="4" customFormat="1" x14ac:dyDescent="0.25">
      <c r="A42" s="10"/>
      <c r="B42" s="5"/>
      <c r="C42" s="5"/>
    </row>
    <row r="43" spans="1:3" s="4" customFormat="1" x14ac:dyDescent="0.25">
      <c r="A43" s="10"/>
      <c r="B43" s="5"/>
      <c r="C43" s="5"/>
    </row>
    <row r="45" spans="1:3" x14ac:dyDescent="0.25">
      <c r="A45" s="49" t="s">
        <v>50</v>
      </c>
      <c r="B45" s="66">
        <v>44927</v>
      </c>
      <c r="C45" s="46">
        <v>44927</v>
      </c>
    </row>
    <row r="46" spans="1:3" x14ac:dyDescent="0.25">
      <c r="A46" s="93" t="s">
        <v>91</v>
      </c>
      <c r="B46" s="52">
        <v>45839</v>
      </c>
      <c r="C46" s="55">
        <v>45839</v>
      </c>
    </row>
    <row r="47" spans="1:3" x14ac:dyDescent="0.25">
      <c r="A47" s="93" t="s">
        <v>92</v>
      </c>
      <c r="B47" s="53">
        <v>1000</v>
      </c>
      <c r="C47" s="50">
        <v>1000</v>
      </c>
    </row>
    <row r="48" spans="1:3" x14ac:dyDescent="0.25">
      <c r="A48" s="93" t="s">
        <v>93</v>
      </c>
      <c r="B48" s="52">
        <v>45474</v>
      </c>
      <c r="C48" s="55">
        <v>45474</v>
      </c>
    </row>
    <row r="49" spans="1:3" x14ac:dyDescent="0.25">
      <c r="A49" s="93" t="s">
        <v>94</v>
      </c>
      <c r="B49" s="52">
        <v>45839</v>
      </c>
      <c r="C49" s="55">
        <v>45839</v>
      </c>
    </row>
    <row r="50" spans="1:3" x14ac:dyDescent="0.25">
      <c r="A50" s="64" t="s">
        <v>18</v>
      </c>
      <c r="B50" s="66">
        <v>45200</v>
      </c>
      <c r="C50" s="46">
        <v>45200</v>
      </c>
    </row>
    <row r="51" spans="1:3" x14ac:dyDescent="0.25">
      <c r="A51" s="65" t="s">
        <v>18</v>
      </c>
      <c r="B51" s="52">
        <v>47392</v>
      </c>
      <c r="C51" s="55">
        <v>47392</v>
      </c>
    </row>
    <row r="52" spans="1:3" x14ac:dyDescent="0.25">
      <c r="A52" s="65" t="s">
        <v>19</v>
      </c>
      <c r="B52" s="22">
        <v>0.02</v>
      </c>
      <c r="C52" s="57">
        <v>0.03</v>
      </c>
    </row>
    <row r="53" spans="1:3" x14ac:dyDescent="0.25">
      <c r="A53" s="65" t="s">
        <v>19</v>
      </c>
      <c r="B53" s="22">
        <v>0.02</v>
      </c>
      <c r="C53" s="57">
        <v>0.02</v>
      </c>
    </row>
    <row r="54" spans="1:3" x14ac:dyDescent="0.25">
      <c r="A54" s="65" t="s">
        <v>15</v>
      </c>
      <c r="B54" s="90" t="str">
        <f>_xll.qlZeroInflationCurve($B$1,B50:B51,B52:B53,"annual","act/360",,$B$2)</f>
        <v>欣[test_inflation.xlsx]CPICoupon!R54C2ZeroInflationTermStructureHandle,A</v>
      </c>
      <c r="C54" s="61" t="str">
        <f>_xll.qlZeroInflationCurve($B$1,C50:C51,C52:C53,"annual","act/360",,$B$2)</f>
        <v>欣[test_inflation.xlsx]CPICoupon!R54C3ZeroInflationTermStructureHandle,A</v>
      </c>
    </row>
    <row r="55" spans="1:3" x14ac:dyDescent="0.25">
      <c r="A55" s="113" t="s">
        <v>135</v>
      </c>
      <c r="B55" s="114" t="str">
        <f>_xll.qlEUHICP(B54,B54)</f>
        <v>欣[test_inflation.xlsx]CPICoupon!R55C2EUHICP,A</v>
      </c>
      <c r="C55" s="115" t="str">
        <f>_xll.qlEUHICP(C54,C54)</f>
        <v>欣[test_inflation.xlsx]CPICoupon!R55C3EUHICP,A</v>
      </c>
    </row>
    <row r="56" spans="1:3" x14ac:dyDescent="0.25">
      <c r="A56" s="64" t="s">
        <v>14</v>
      </c>
      <c r="B56" s="116">
        <v>45200</v>
      </c>
      <c r="C56" s="117">
        <v>45200</v>
      </c>
    </row>
    <row r="57" spans="1:3" x14ac:dyDescent="0.25">
      <c r="A57" s="65" t="s">
        <v>22</v>
      </c>
      <c r="B57" s="118">
        <v>100</v>
      </c>
      <c r="C57" s="112">
        <v>100</v>
      </c>
    </row>
    <row r="58" spans="1:3" x14ac:dyDescent="0.25">
      <c r="A58" s="113" t="s">
        <v>21</v>
      </c>
      <c r="B58" s="83" t="b">
        <f>_xll.qlIndexAddFixing(B55,B56,B57,,B55)</f>
        <v>1</v>
      </c>
      <c r="C58" s="63" t="b">
        <f>_xll.qlIndexAddFixing(C55,C56,C57,,C55)</f>
        <v>1</v>
      </c>
    </row>
    <row r="59" spans="1:3" x14ac:dyDescent="0.25">
      <c r="A59" s="64" t="s">
        <v>14</v>
      </c>
      <c r="B59" s="116">
        <v>44927</v>
      </c>
      <c r="C59" s="117">
        <v>44927</v>
      </c>
    </row>
    <row r="60" spans="1:3" x14ac:dyDescent="0.25">
      <c r="A60" s="65" t="s">
        <v>22</v>
      </c>
      <c r="B60" s="118">
        <v>100</v>
      </c>
      <c r="C60" s="112">
        <v>100</v>
      </c>
    </row>
    <row r="61" spans="1:3" x14ac:dyDescent="0.25">
      <c r="A61" s="113" t="s">
        <v>21</v>
      </c>
      <c r="B61" s="83" t="b">
        <f>_xll.qlIndexAddFixing(B55,B59,B60,,B58)</f>
        <v>1</v>
      </c>
      <c r="C61" s="63" t="b">
        <f>_xll.qlIndexAddFixing(C55,C59,C60,,C58)</f>
        <v>1</v>
      </c>
    </row>
    <row r="62" spans="1:3" x14ac:dyDescent="0.25">
      <c r="A62" s="94" t="s">
        <v>54</v>
      </c>
      <c r="B62" s="52" t="s">
        <v>17</v>
      </c>
      <c r="C62" s="55" t="s">
        <v>17</v>
      </c>
    </row>
    <row r="63" spans="1:3" x14ac:dyDescent="0.25">
      <c r="A63" s="94" t="s">
        <v>77</v>
      </c>
      <c r="B63" s="52" t="s">
        <v>80</v>
      </c>
      <c r="C63" s="55" t="s">
        <v>80</v>
      </c>
    </row>
    <row r="64" spans="1:3" x14ac:dyDescent="0.25">
      <c r="A64" s="94" t="s">
        <v>31</v>
      </c>
      <c r="B64" s="22" t="s">
        <v>52</v>
      </c>
      <c r="C64" s="57" t="s">
        <v>52</v>
      </c>
    </row>
    <row r="65" spans="1:3" x14ac:dyDescent="0.25">
      <c r="A65" s="94" t="s">
        <v>120</v>
      </c>
      <c r="B65" s="22">
        <v>0.02</v>
      </c>
      <c r="C65" s="57">
        <v>0.02</v>
      </c>
    </row>
    <row r="66" spans="1:3" x14ac:dyDescent="0.25">
      <c r="A66" s="94" t="s">
        <v>98</v>
      </c>
      <c r="B66" s="99"/>
      <c r="C66" s="100">
        <v>45292</v>
      </c>
    </row>
    <row r="67" spans="1:3" x14ac:dyDescent="0.25">
      <c r="A67" s="101" t="s">
        <v>99</v>
      </c>
      <c r="B67" s="52"/>
      <c r="C67" s="71">
        <v>45658</v>
      </c>
    </row>
    <row r="68" spans="1:3" x14ac:dyDescent="0.25">
      <c r="A68" s="101" t="s">
        <v>121</v>
      </c>
      <c r="B68" s="52"/>
      <c r="C68" s="71">
        <v>45493</v>
      </c>
    </row>
    <row r="69" spans="1:3" x14ac:dyDescent="0.25">
      <c r="A69" s="102" t="s">
        <v>134</v>
      </c>
      <c r="B69" s="68" t="str">
        <f>_xll.qlCPICoupon2(B45,B46,B47,B48,B49,B55,B62,B63,B64,B65,B66,B67,,B61)</f>
        <v>欣[test_inflation.xlsx]CPICoupon!R69C2CPICoupon,A</v>
      </c>
      <c r="C69" s="58" t="str">
        <f>_xll.qlCPICoupon2(C45,C46,C47,C48,C49,C55,C62,C63,C64,C65,C66,C67,C68,C61)</f>
        <v>欣[test_inflation.xlsx]CPICoupon!R69C3CPICoupon,A</v>
      </c>
    </row>
    <row r="70" spans="1:3" x14ac:dyDescent="0.25">
      <c r="A70" s="256" t="s">
        <v>104</v>
      </c>
      <c r="B70" s="66">
        <f>_xll.qlInflationCouponFixingDate(B69,B69)</f>
        <v>45748</v>
      </c>
      <c r="C70" s="46">
        <f>_xll.qlInflationCouponFixingDate(C69,C69)</f>
        <v>45566</v>
      </c>
    </row>
    <row r="71" spans="1:3" x14ac:dyDescent="0.25">
      <c r="A71" s="253" t="s">
        <v>100</v>
      </c>
      <c r="B71" s="136">
        <f>_xll.qlInflationCouponFixingDays(B69,B69)</f>
        <v>0</v>
      </c>
      <c r="C71" s="201">
        <f>_xll.qlInflationCouponFixingDays(C69,C69)</f>
        <v>0</v>
      </c>
    </row>
    <row r="72" spans="1:3" x14ac:dyDescent="0.25">
      <c r="A72" s="108" t="s">
        <v>101</v>
      </c>
      <c r="B72" s="22" t="str">
        <f>_xll.qlInflationCouponIndex(B69,B69)</f>
        <v>欣[test_inflation.xlsx]CPICoupon!R72C2InflationIndex,A</v>
      </c>
      <c r="C72" s="57" t="str">
        <f>_xll.qlInflationCouponIndex(C69,C69)</f>
        <v>欣[test_inflation.xlsx]CPICoupon!R72C3InflationIndex,A</v>
      </c>
    </row>
    <row r="73" spans="1:3" x14ac:dyDescent="0.25">
      <c r="A73" s="137" t="s">
        <v>102</v>
      </c>
      <c r="B73" s="136">
        <f>_xll.qlInflationCouponIndexFixing(B69,B69)</f>
        <v>103.06029293987548</v>
      </c>
      <c r="C73" s="201">
        <f>_xll.qlInflationCouponIndexFixing(C69,C69)</f>
        <v>104.2794377537428</v>
      </c>
    </row>
    <row r="74" spans="1:3" x14ac:dyDescent="0.25">
      <c r="A74" s="108" t="s">
        <v>103</v>
      </c>
      <c r="B74" s="52" t="str">
        <f>_xll.qlInflationCouponObservationLag(B69,B69)</f>
        <v>3M</v>
      </c>
      <c r="C74" s="55" t="str">
        <f>_xll.qlInflationCouponObservationLag(C69,C69)</f>
        <v>3M</v>
      </c>
    </row>
    <row r="75" spans="1:3" x14ac:dyDescent="0.25">
      <c r="A75" s="137" t="s">
        <v>123</v>
      </c>
      <c r="B75" s="136">
        <f>_xll.qlCPICouponFixedRate(B69,B69)</f>
        <v>0.02</v>
      </c>
      <c r="C75" s="201">
        <f>_xll.qlCPICouponFixedRate(C69,C69)</f>
        <v>0.02</v>
      </c>
    </row>
    <row r="76" spans="1:3" x14ac:dyDescent="0.25">
      <c r="A76" s="108" t="s">
        <v>125</v>
      </c>
      <c r="B76" s="53">
        <f>_xll.qlCPICouponIndexFixing(B69,B69)</f>
        <v>103.06029293987548</v>
      </c>
      <c r="C76" s="50">
        <f>_xll.qlCPICouponIndexFixing(C69,C69)</f>
        <v>104.2794377537428</v>
      </c>
    </row>
    <row r="77" spans="1:3" x14ac:dyDescent="0.25">
      <c r="A77" s="64" t="s">
        <v>131</v>
      </c>
      <c r="B77" s="66">
        <v>45444</v>
      </c>
      <c r="C77" s="46">
        <v>45444</v>
      </c>
    </row>
    <row r="78" spans="1:3" x14ac:dyDescent="0.25">
      <c r="A78" s="72" t="s">
        <v>126</v>
      </c>
      <c r="B78" s="91">
        <f>_xll.qlCPICouponIndexRatio(B69,B77,B69)</f>
        <v>1.0083961609994694</v>
      </c>
      <c r="C78" s="56">
        <f>_xll.qlCPICouponIndexRatio(C69,C77,C69)</f>
        <v>1.0123843583565788</v>
      </c>
    </row>
    <row r="79" spans="1:3" x14ac:dyDescent="0.25">
      <c r="A79" s="108" t="s">
        <v>127</v>
      </c>
      <c r="B79" s="53">
        <f>_xll.qlCPICouponBaseCPI(B69,B69)</f>
        <v>3.4028234663852886E+38</v>
      </c>
      <c r="C79" s="50">
        <f>_xll.qlCPICouponBaseCPI(C69,C69)</f>
        <v>3.4028234663852886E+38</v>
      </c>
    </row>
    <row r="80" spans="1:3" x14ac:dyDescent="0.25">
      <c r="A80" s="137" t="s">
        <v>128</v>
      </c>
      <c r="B80" s="136">
        <f>_xll.qlCPICouponBaseDate(B69,B69)</f>
        <v>44927</v>
      </c>
      <c r="C80" s="201">
        <f>_xll.qlCPICouponBaseDate(C69,C69)</f>
        <v>44927</v>
      </c>
    </row>
    <row r="81" spans="1:3" x14ac:dyDescent="0.25">
      <c r="A81" s="108" t="s">
        <v>129</v>
      </c>
      <c r="B81" s="53" t="str">
        <f>_xll.qlCPICouponObservationInterpolation(B69,B69)</f>
        <v>ASINDEX</v>
      </c>
      <c r="C81" s="50" t="str">
        <f>_xll.qlCPICouponObservationInterpolation(C69,C69)</f>
        <v>ASINDEX</v>
      </c>
    </row>
    <row r="82" spans="1:3" x14ac:dyDescent="0.25">
      <c r="A82" s="137" t="s">
        <v>130</v>
      </c>
      <c r="B82" s="128" t="str">
        <f>_xll.qlCPICouponCPIIndex(B69,B69)</f>
        <v>欣[test_inflation.xlsx]CPICoupon!R82C2ZeroInflationIndex,A</v>
      </c>
      <c r="C82" s="252" t="str">
        <f>_xll.qlCPICouponCPIIndex(C69,C69)</f>
        <v>欣[test_inflation.xlsx]CPICoupon!R82C3ZeroInflationIndex,A</v>
      </c>
    </row>
    <row r="83" spans="1:3" x14ac:dyDescent="0.25">
      <c r="A83" s="108" t="s">
        <v>132</v>
      </c>
      <c r="B83" s="52" t="str">
        <f>_xll.qlCPICouponPricer(B69)</f>
        <v>欣[test_inflation.xlsx]CPICoupon!R83C2CPICouponPricer,A</v>
      </c>
      <c r="C83" s="55" t="str">
        <f>_xll.qlCPICouponPricer(C69)</f>
        <v>欣[test_inflation.xlsx]CPICoupon!R83C3CPICouponPricer,A</v>
      </c>
    </row>
    <row r="84" spans="1:3" x14ac:dyDescent="0.25">
      <c r="A84" s="108" t="s">
        <v>133</v>
      </c>
      <c r="B84" s="238" t="b">
        <f>_xll.qlCPICouponSetPricer(B69,B83,B83)</f>
        <v>1</v>
      </c>
      <c r="C84" s="257" t="b">
        <f>_xll.qlCPICouponSetPricer(C69,C83,C83)</f>
        <v>1</v>
      </c>
    </row>
    <row r="85" spans="1:3" x14ac:dyDescent="0.25">
      <c r="A85" s="72" t="s">
        <v>124</v>
      </c>
      <c r="B85" s="91">
        <f>_xll.qlCPICouponAdjustedIndexGrowth(B69,B84)</f>
        <v>1.0306029293987549</v>
      </c>
      <c r="C85" s="56">
        <f>_xll.qlCPICouponAdjustedIndexGrowth(C69,C84)</f>
        <v>1.042794377537428</v>
      </c>
    </row>
    <row r="89" spans="1:3" x14ac:dyDescent="0.25">
      <c r="A89" s="49" t="s">
        <v>119</v>
      </c>
      <c r="B89" s="19">
        <v>100</v>
      </c>
      <c r="C89" s="109">
        <v>100</v>
      </c>
    </row>
    <row r="90" spans="1:3" x14ac:dyDescent="0.25">
      <c r="A90" s="54" t="s">
        <v>50</v>
      </c>
      <c r="B90" s="52">
        <v>44927</v>
      </c>
      <c r="C90" s="55">
        <v>44927</v>
      </c>
    </row>
    <row r="91" spans="1:3" x14ac:dyDescent="0.25">
      <c r="A91" s="93" t="s">
        <v>91</v>
      </c>
      <c r="B91" s="52">
        <v>45839</v>
      </c>
      <c r="C91" s="55">
        <v>45839</v>
      </c>
    </row>
    <row r="92" spans="1:3" x14ac:dyDescent="0.25">
      <c r="A92" s="93" t="s">
        <v>92</v>
      </c>
      <c r="B92" s="53">
        <v>1000</v>
      </c>
      <c r="C92" s="50">
        <v>1000</v>
      </c>
    </row>
    <row r="93" spans="1:3" x14ac:dyDescent="0.25">
      <c r="A93" s="93" t="s">
        <v>93</v>
      </c>
      <c r="B93" s="52">
        <v>45474</v>
      </c>
      <c r="C93" s="55">
        <v>45474</v>
      </c>
    </row>
    <row r="94" spans="1:3" x14ac:dyDescent="0.25">
      <c r="A94" s="93" t="s">
        <v>94</v>
      </c>
      <c r="B94" s="52">
        <v>45839</v>
      </c>
      <c r="C94" s="55">
        <v>45839</v>
      </c>
    </row>
    <row r="95" spans="1:3" x14ac:dyDescent="0.25">
      <c r="A95" s="64" t="s">
        <v>18</v>
      </c>
      <c r="B95" s="66">
        <v>45200</v>
      </c>
      <c r="C95" s="46">
        <v>45200</v>
      </c>
    </row>
    <row r="96" spans="1:3" x14ac:dyDescent="0.25">
      <c r="A96" s="65" t="s">
        <v>18</v>
      </c>
      <c r="B96" s="52">
        <v>47392</v>
      </c>
      <c r="C96" s="55">
        <v>47392</v>
      </c>
    </row>
    <row r="97" spans="1:3" x14ac:dyDescent="0.25">
      <c r="A97" s="65" t="s">
        <v>19</v>
      </c>
      <c r="B97" s="22">
        <v>0.02</v>
      </c>
      <c r="C97" s="57">
        <v>0.03</v>
      </c>
    </row>
    <row r="98" spans="1:3" x14ac:dyDescent="0.25">
      <c r="A98" s="65" t="s">
        <v>19</v>
      </c>
      <c r="B98" s="22">
        <v>0.02</v>
      </c>
      <c r="C98" s="57">
        <v>0.02</v>
      </c>
    </row>
    <row r="99" spans="1:3" x14ac:dyDescent="0.25">
      <c r="A99" s="65" t="s">
        <v>15</v>
      </c>
      <c r="B99" s="90" t="str">
        <f>_xll.qlZeroInflationCurve($B$1,B95:B96,B97:B98,"annual","act/360",,$B$2)</f>
        <v>欣[test_inflation.xlsx]CPICoupon!R99C2ZeroInflationTermStructureHandle,A</v>
      </c>
      <c r="C99" s="61" t="str">
        <f>_xll.qlZeroInflationCurve($B$1,C95:C96,C97:C98,"annual","act/360",,$B$2)</f>
        <v>欣[test_inflation.xlsx]CPICoupon!R99C3ZeroInflationTermStructureHandle,A</v>
      </c>
    </row>
    <row r="100" spans="1:3" x14ac:dyDescent="0.25">
      <c r="A100" s="113" t="s">
        <v>135</v>
      </c>
      <c r="B100" s="114" t="str">
        <f>_xll.qlEUHICP(B99,B99)</f>
        <v>欣[test_inflation.xlsx]CPICoupon!R100C2EUHICP,A</v>
      </c>
      <c r="C100" s="115" t="str">
        <f>_xll.qlEUHICP(C99,C99)</f>
        <v>欣[test_inflation.xlsx]CPICoupon!R100C3EUHICP,A</v>
      </c>
    </row>
    <row r="101" spans="1:3" x14ac:dyDescent="0.25">
      <c r="A101" s="64" t="s">
        <v>14</v>
      </c>
      <c r="B101" s="116">
        <v>45200</v>
      </c>
      <c r="C101" s="117">
        <v>45200</v>
      </c>
    </row>
    <row r="102" spans="1:3" x14ac:dyDescent="0.25">
      <c r="A102" s="65" t="s">
        <v>22</v>
      </c>
      <c r="B102" s="118">
        <v>100</v>
      </c>
      <c r="C102" s="112">
        <v>100</v>
      </c>
    </row>
    <row r="103" spans="1:3" x14ac:dyDescent="0.25">
      <c r="A103" s="113" t="s">
        <v>21</v>
      </c>
      <c r="B103" s="83" t="b">
        <f>_xll.qlIndexAddFixing(B100,B101,B102,,B100)</f>
        <v>1</v>
      </c>
      <c r="C103" s="63" t="b">
        <f>_xll.qlIndexAddFixing(C100,C101,C102,,C100)</f>
        <v>1</v>
      </c>
    </row>
    <row r="104" spans="1:3" x14ac:dyDescent="0.25">
      <c r="A104" s="64" t="s">
        <v>14</v>
      </c>
      <c r="B104" s="116">
        <v>44927</v>
      </c>
      <c r="C104" s="117">
        <v>44927</v>
      </c>
    </row>
    <row r="105" spans="1:3" x14ac:dyDescent="0.25">
      <c r="A105" s="65" t="s">
        <v>22</v>
      </c>
      <c r="B105" s="118">
        <v>100</v>
      </c>
      <c r="C105" s="112">
        <v>100</v>
      </c>
    </row>
    <row r="106" spans="1:3" x14ac:dyDescent="0.25">
      <c r="A106" s="113" t="s">
        <v>21</v>
      </c>
      <c r="B106" s="83" t="b">
        <f>_xll.qlIndexAddFixing(B100,B104,B105,,B103)</f>
        <v>1</v>
      </c>
      <c r="C106" s="63" t="b">
        <f>_xll.qlIndexAddFixing(C100,C104,C105,,C103)</f>
        <v>1</v>
      </c>
    </row>
    <row r="107" spans="1:3" x14ac:dyDescent="0.25">
      <c r="A107" s="94" t="s">
        <v>54</v>
      </c>
      <c r="B107" s="52" t="s">
        <v>17</v>
      </c>
      <c r="C107" s="55" t="s">
        <v>17</v>
      </c>
    </row>
    <row r="108" spans="1:3" x14ac:dyDescent="0.25">
      <c r="A108" s="94" t="s">
        <v>77</v>
      </c>
      <c r="B108" s="52" t="s">
        <v>80</v>
      </c>
      <c r="C108" s="55" t="s">
        <v>80</v>
      </c>
    </row>
    <row r="109" spans="1:3" x14ac:dyDescent="0.25">
      <c r="A109" s="94" t="s">
        <v>31</v>
      </c>
      <c r="B109" s="22" t="s">
        <v>52</v>
      </c>
      <c r="C109" s="57" t="s">
        <v>52</v>
      </c>
    </row>
    <row r="110" spans="1:3" x14ac:dyDescent="0.25">
      <c r="A110" s="94" t="s">
        <v>120</v>
      </c>
      <c r="B110" s="22">
        <v>0.02</v>
      </c>
      <c r="C110" s="57">
        <v>0.02</v>
      </c>
    </row>
    <row r="111" spans="1:3" x14ac:dyDescent="0.25">
      <c r="A111" s="94" t="s">
        <v>98</v>
      </c>
      <c r="B111" s="99"/>
      <c r="C111" s="100">
        <v>45292</v>
      </c>
    </row>
    <row r="112" spans="1:3" x14ac:dyDescent="0.25">
      <c r="A112" s="101" t="s">
        <v>99</v>
      </c>
      <c r="B112" s="52"/>
      <c r="C112" s="71">
        <v>45658</v>
      </c>
    </row>
    <row r="113" spans="1:3" x14ac:dyDescent="0.25">
      <c r="A113" s="101" t="s">
        <v>121</v>
      </c>
      <c r="B113" s="52"/>
      <c r="C113" s="71">
        <v>45493</v>
      </c>
    </row>
    <row r="114" spans="1:3" x14ac:dyDescent="0.25">
      <c r="A114" s="102" t="s">
        <v>186</v>
      </c>
      <c r="B114" s="68" t="str">
        <f>_xll.qlCPICoupon3(B89,B90,B91,B92,B93,B94,B100,B107,B108,B109,B110,B111,B112,,B106)</f>
        <v>欣[test_inflation.xlsx]CPICoupon!R114C2CPICoupon,A</v>
      </c>
      <c r="C114" s="58" t="str">
        <f>_xll.qlCPICoupon3(C89,C90,C91,C92,C93,C94,C100,C107,C108,C109,C110,C111,C112,C113,C106)</f>
        <v>欣[test_inflation.xlsx]CPICoupon!R114C3CPICoupon,A</v>
      </c>
    </row>
    <row r="115" spans="1:3" x14ac:dyDescent="0.25">
      <c r="A115" s="256" t="s">
        <v>104</v>
      </c>
      <c r="B115" s="66">
        <f>_xll.qlInflationCouponFixingDate(B114,B114)</f>
        <v>45748</v>
      </c>
      <c r="C115" s="46">
        <f>_xll.qlInflationCouponFixingDate(C114,C114)</f>
        <v>45566</v>
      </c>
    </row>
    <row r="116" spans="1:3" x14ac:dyDescent="0.25">
      <c r="A116" s="253" t="s">
        <v>100</v>
      </c>
      <c r="B116" s="136">
        <f>_xll.qlInflationCouponFixingDays(B114,B114)</f>
        <v>0</v>
      </c>
      <c r="C116" s="201">
        <f>_xll.qlInflationCouponFixingDays(C114,C114)</f>
        <v>0</v>
      </c>
    </row>
    <row r="117" spans="1:3" x14ac:dyDescent="0.25">
      <c r="A117" s="108" t="s">
        <v>101</v>
      </c>
      <c r="B117" s="22" t="str">
        <f>_xll.qlInflationCouponIndex(B114,B114)</f>
        <v>欣[test_inflation.xlsx]CPICoupon!R117C2InflationIndex,A</v>
      </c>
      <c r="C117" s="57" t="str">
        <f>_xll.qlInflationCouponIndex(C114,C114)</f>
        <v>欣[test_inflation.xlsx]CPICoupon!R117C3InflationIndex,A</v>
      </c>
    </row>
    <row r="118" spans="1:3" x14ac:dyDescent="0.25">
      <c r="A118" s="137" t="s">
        <v>102</v>
      </c>
      <c r="B118" s="136">
        <f>_xll.qlInflationCouponIndexFixing(B114,B114)</f>
        <v>103.06029293987548</v>
      </c>
      <c r="C118" s="201">
        <f>_xll.qlInflationCouponIndexFixing(C114,C114)</f>
        <v>104.2794377537428</v>
      </c>
    </row>
    <row r="119" spans="1:3" x14ac:dyDescent="0.25">
      <c r="A119" s="108" t="s">
        <v>103</v>
      </c>
      <c r="B119" s="52" t="str">
        <f>_xll.qlInflationCouponObservationLag(B114,B114)</f>
        <v>3M</v>
      </c>
      <c r="C119" s="55" t="str">
        <f>_xll.qlInflationCouponObservationLag(C114,C114)</f>
        <v>3M</v>
      </c>
    </row>
    <row r="120" spans="1:3" x14ac:dyDescent="0.25">
      <c r="A120" s="137" t="s">
        <v>123</v>
      </c>
      <c r="B120" s="136">
        <f>_xll.qlCPICouponFixedRate(B114,B114)</f>
        <v>0.02</v>
      </c>
      <c r="C120" s="201">
        <f>_xll.qlCPICouponFixedRate(C114,C114)</f>
        <v>0.02</v>
      </c>
    </row>
    <row r="121" spans="1:3" x14ac:dyDescent="0.25">
      <c r="A121" s="108" t="s">
        <v>125</v>
      </c>
      <c r="B121" s="53">
        <f>_xll.qlCPICouponIndexFixing(B114,B114)</f>
        <v>103.06029293987548</v>
      </c>
      <c r="C121" s="50">
        <f>_xll.qlCPICouponIndexFixing(C114,C114)</f>
        <v>104.2794377537428</v>
      </c>
    </row>
    <row r="122" spans="1:3" x14ac:dyDescent="0.25">
      <c r="A122" s="64" t="s">
        <v>131</v>
      </c>
      <c r="B122" s="66">
        <v>45444</v>
      </c>
      <c r="C122" s="46">
        <v>45444</v>
      </c>
    </row>
    <row r="123" spans="1:3" x14ac:dyDescent="0.25">
      <c r="A123" s="72" t="s">
        <v>126</v>
      </c>
      <c r="B123" s="91">
        <f>_xll.qlCPICouponIndexRatio(B114,B122,B114)</f>
        <v>1.0083961609994694</v>
      </c>
      <c r="C123" s="56">
        <f>_xll.qlCPICouponIndexRatio(C114,C122,C114)</f>
        <v>1.0123843583565788</v>
      </c>
    </row>
    <row r="124" spans="1:3" x14ac:dyDescent="0.25">
      <c r="A124" s="108" t="s">
        <v>127</v>
      </c>
      <c r="B124" s="53">
        <f>_xll.qlCPICouponBaseCPI(B114,B114)</f>
        <v>100</v>
      </c>
      <c r="C124" s="50">
        <f>_xll.qlCPICouponBaseCPI(C114,C114)</f>
        <v>100</v>
      </c>
    </row>
    <row r="125" spans="1:3" x14ac:dyDescent="0.25">
      <c r="A125" s="137" t="s">
        <v>128</v>
      </c>
      <c r="B125" s="136">
        <f>_xll.qlCPICouponBaseDate(B114,B114)</f>
        <v>44927</v>
      </c>
      <c r="C125" s="201">
        <f>_xll.qlCPICouponBaseDate(C114,C114)</f>
        <v>44927</v>
      </c>
    </row>
    <row r="126" spans="1:3" x14ac:dyDescent="0.25">
      <c r="A126" s="108" t="s">
        <v>129</v>
      </c>
      <c r="B126" s="53" t="str">
        <f>_xll.qlCPICouponObservationInterpolation(B114,B114)</f>
        <v>ASINDEX</v>
      </c>
      <c r="C126" s="50" t="str">
        <f>_xll.qlCPICouponObservationInterpolation(C114,C114)</f>
        <v>ASINDEX</v>
      </c>
    </row>
    <row r="127" spans="1:3" x14ac:dyDescent="0.25">
      <c r="A127" s="137" t="s">
        <v>130</v>
      </c>
      <c r="B127" s="128" t="str">
        <f>_xll.qlCPICouponCPIIndex(B114,B114)</f>
        <v>欣[test_inflation.xlsx]CPICoupon!R127C2ZeroInflationIndex,A</v>
      </c>
      <c r="C127" s="252" t="str">
        <f>_xll.qlCPICouponCPIIndex(C114,C114)</f>
        <v>欣[test_inflation.xlsx]CPICoupon!R127C3ZeroInflationIndex,A</v>
      </c>
    </row>
    <row r="128" spans="1:3" x14ac:dyDescent="0.25">
      <c r="A128" s="108" t="s">
        <v>132</v>
      </c>
      <c r="B128" s="52" t="str">
        <f>_xll.qlCPICouponPricer(B114)</f>
        <v>欣[test_inflation.xlsx]CPICoupon!R128C2CPICouponPricer,A</v>
      </c>
      <c r="C128" s="55" t="str">
        <f>_xll.qlCPICouponPricer(C114)</f>
        <v>欣[test_inflation.xlsx]CPICoupon!R128C3CPICouponPricer,A</v>
      </c>
    </row>
    <row r="129" spans="1:3" x14ac:dyDescent="0.25">
      <c r="A129" s="108" t="s">
        <v>133</v>
      </c>
      <c r="B129" s="238" t="b">
        <f>_xll.qlCPICouponSetPricer(B114,B128,B128)</f>
        <v>1</v>
      </c>
      <c r="C129" s="257" t="b">
        <f>_xll.qlCPICouponSetPricer(C114,C128,C128)</f>
        <v>1</v>
      </c>
    </row>
    <row r="130" spans="1:3" x14ac:dyDescent="0.25">
      <c r="A130" s="72" t="s">
        <v>124</v>
      </c>
      <c r="B130" s="91">
        <f>_xll.qlCPICouponAdjustedIndexGrowth(B114,B129)</f>
        <v>1.0306029293987549</v>
      </c>
      <c r="C130" s="56">
        <f>_xll.qlCPICouponAdjustedIndexGrowth(C114,C129)</f>
        <v>1.042794377537428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FED1C-A402-4BE7-BC87-E352E64578AE}">
  <dimension ref="A1:F8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11.5703125" defaultRowHeight="15" x14ac:dyDescent="0.25"/>
  <cols>
    <col min="1" max="1" width="57.85546875" customWidth="1"/>
    <col min="2" max="2" width="76" style="4" customWidth="1"/>
    <col min="3" max="3" width="6.42578125" style="4" customWidth="1"/>
    <col min="4" max="4" width="75.28515625" style="4" customWidth="1"/>
    <col min="5" max="6" width="11.5703125" style="4"/>
  </cols>
  <sheetData>
    <row r="1" spans="1:6" x14ac:dyDescent="0.25">
      <c r="A1" s="51" t="s">
        <v>2</v>
      </c>
      <c r="B1" s="52">
        <v>45292</v>
      </c>
      <c r="C1" s="52"/>
      <c r="D1" s="22"/>
      <c r="E1" s="22"/>
      <c r="F1" s="22"/>
    </row>
    <row r="2" spans="1:6" x14ac:dyDescent="0.25">
      <c r="A2" s="51" t="s">
        <v>3</v>
      </c>
      <c r="B2" s="52">
        <f>_xll.qlSettingsSetEvaluationDate(B1)</f>
        <v>45292</v>
      </c>
      <c r="C2" s="52"/>
      <c r="D2" s="22"/>
      <c r="E2" s="22"/>
      <c r="F2" s="22"/>
    </row>
    <row r="3" spans="1:6" x14ac:dyDescent="0.25">
      <c r="A3" s="51"/>
      <c r="B3" s="22"/>
      <c r="C3" s="22"/>
      <c r="D3" s="22"/>
      <c r="E3" s="22"/>
      <c r="F3" s="22"/>
    </row>
    <row r="4" spans="1:6" x14ac:dyDescent="0.25">
      <c r="A4" s="49" t="s">
        <v>30</v>
      </c>
      <c r="B4" s="66">
        <v>45292</v>
      </c>
      <c r="C4" s="66"/>
      <c r="D4" s="66">
        <v>45292</v>
      </c>
      <c r="E4" s="109"/>
      <c r="F4" s="22"/>
    </row>
    <row r="5" spans="1:6" s="4" customFormat="1" x14ac:dyDescent="0.25">
      <c r="A5" s="49" t="s">
        <v>18</v>
      </c>
      <c r="B5" s="66">
        <v>45292</v>
      </c>
      <c r="C5" s="66"/>
      <c r="D5" s="66">
        <v>45292</v>
      </c>
      <c r="E5" s="109"/>
      <c r="F5" s="22"/>
    </row>
    <row r="6" spans="1:6" s="4" customFormat="1" x14ac:dyDescent="0.25">
      <c r="A6" s="54" t="s">
        <v>18</v>
      </c>
      <c r="B6" s="52">
        <v>45658</v>
      </c>
      <c r="C6" s="52"/>
      <c r="D6" s="52">
        <v>45658</v>
      </c>
      <c r="E6" s="57"/>
      <c r="F6" s="22"/>
    </row>
    <row r="7" spans="1:6" s="4" customFormat="1" x14ac:dyDescent="0.25">
      <c r="A7" s="126" t="s">
        <v>18</v>
      </c>
      <c r="B7" s="68">
        <v>46023</v>
      </c>
      <c r="C7" s="68"/>
      <c r="D7" s="68">
        <v>46023</v>
      </c>
      <c r="E7" s="48"/>
      <c r="F7" s="22"/>
    </row>
    <row r="8" spans="1:6" s="4" customFormat="1" x14ac:dyDescent="0.25">
      <c r="A8" s="127" t="s">
        <v>19</v>
      </c>
      <c r="B8" s="86">
        <v>0.01</v>
      </c>
      <c r="C8" s="86"/>
      <c r="D8" s="86">
        <v>0.01</v>
      </c>
      <c r="E8" s="109"/>
      <c r="F8" s="22"/>
    </row>
    <row r="9" spans="1:6" s="4" customFormat="1" x14ac:dyDescent="0.25">
      <c r="A9" s="67" t="s">
        <v>19</v>
      </c>
      <c r="B9" s="53">
        <v>0.02</v>
      </c>
      <c r="C9" s="53"/>
      <c r="D9" s="53">
        <v>0.02</v>
      </c>
      <c r="E9" s="57"/>
      <c r="F9" s="22"/>
    </row>
    <row r="10" spans="1:6" s="4" customFormat="1" x14ac:dyDescent="0.25">
      <c r="A10" s="123" t="s">
        <v>19</v>
      </c>
      <c r="B10" s="91">
        <v>0.03</v>
      </c>
      <c r="C10" s="91"/>
      <c r="D10" s="91">
        <v>0.03</v>
      </c>
      <c r="E10" s="48"/>
      <c r="F10" s="22"/>
    </row>
    <row r="11" spans="1:6" s="4" customFormat="1" x14ac:dyDescent="0.25">
      <c r="A11" s="67" t="s">
        <v>12</v>
      </c>
      <c r="B11" s="53" t="s">
        <v>16</v>
      </c>
      <c r="C11" s="53"/>
      <c r="D11" s="53" t="s">
        <v>16</v>
      </c>
      <c r="E11" s="57"/>
      <c r="F11" s="22"/>
    </row>
    <row r="12" spans="1:6" s="4" customFormat="1" x14ac:dyDescent="0.25">
      <c r="A12" s="67" t="s">
        <v>31</v>
      </c>
      <c r="B12" s="53" t="s">
        <v>52</v>
      </c>
      <c r="C12" s="53"/>
      <c r="D12" s="53" t="s">
        <v>52</v>
      </c>
      <c r="E12" s="57"/>
      <c r="F12" s="22"/>
    </row>
    <row r="13" spans="1:6" s="4" customFormat="1" x14ac:dyDescent="0.25">
      <c r="A13" s="121" t="s">
        <v>50</v>
      </c>
      <c r="B13" s="66"/>
      <c r="C13" s="66"/>
      <c r="D13" s="66">
        <v>45292</v>
      </c>
      <c r="E13" s="109"/>
      <c r="F13" s="22"/>
    </row>
    <row r="14" spans="1:6" s="4" customFormat="1" x14ac:dyDescent="0.25">
      <c r="A14" s="122" t="s">
        <v>12</v>
      </c>
      <c r="B14" s="53"/>
      <c r="C14" s="53"/>
      <c r="D14" s="53" t="s">
        <v>13</v>
      </c>
      <c r="E14" s="57"/>
      <c r="F14" s="22"/>
    </row>
    <row r="15" spans="1:6" s="4" customFormat="1" x14ac:dyDescent="0.25">
      <c r="A15" s="122" t="s">
        <v>51</v>
      </c>
      <c r="B15" s="53"/>
      <c r="C15" s="53"/>
      <c r="D15" s="53">
        <v>1</v>
      </c>
      <c r="E15" s="57"/>
      <c r="F15" s="22"/>
    </row>
    <row r="16" spans="1:6" s="4" customFormat="1" x14ac:dyDescent="0.25">
      <c r="A16" s="122" t="s">
        <v>51</v>
      </c>
      <c r="B16" s="53"/>
      <c r="C16" s="53"/>
      <c r="D16" s="53">
        <v>1.02</v>
      </c>
      <c r="E16" s="57"/>
      <c r="F16" s="22"/>
    </row>
    <row r="17" spans="1:6" s="4" customFormat="1" x14ac:dyDescent="0.25">
      <c r="A17" s="122" t="s">
        <v>51</v>
      </c>
      <c r="B17" s="53"/>
      <c r="C17" s="53"/>
      <c r="D17" s="53">
        <v>1.01</v>
      </c>
      <c r="E17" s="57"/>
      <c r="F17" s="22"/>
    </row>
    <row r="18" spans="1:6" s="4" customFormat="1" x14ac:dyDescent="0.25">
      <c r="A18" s="122" t="s">
        <v>51</v>
      </c>
      <c r="B18" s="53"/>
      <c r="C18" s="53"/>
      <c r="D18" s="53">
        <v>1.03</v>
      </c>
      <c r="E18" s="57"/>
      <c r="F18" s="22"/>
    </row>
    <row r="19" spans="1:6" s="4" customFormat="1" x14ac:dyDescent="0.25">
      <c r="A19" s="123" t="s">
        <v>32</v>
      </c>
      <c r="B19" s="91"/>
      <c r="C19" s="91"/>
      <c r="D19" s="91" t="str">
        <f>_xll.qlMultiplicativePriceSeasonality(D13,D14,D15:D18,B2)</f>
        <v>欣[test_inflation.xlsx]ZeroInflationCurve!R19C4MultiplicativePriceSeasonality,A</v>
      </c>
      <c r="E19" s="48"/>
      <c r="F19" s="22"/>
    </row>
    <row r="20" spans="1:6" s="4" customFormat="1" x14ac:dyDescent="0.25">
      <c r="A20" s="124" t="s">
        <v>20</v>
      </c>
      <c r="B20" s="25" t="str">
        <f>_xll.qlZeroInflationCurve(B4,B5:B7,B8:B10,B11,B12,,B2)</f>
        <v>欣[test_inflation.xlsx]ZeroInflationCurve!R20C2ZeroInflationTermStructureHandle,A</v>
      </c>
      <c r="C20" s="25"/>
      <c r="D20" s="25" t="str">
        <f>_xll.qlZeroInflationCurve(D4,D5:D7,D8:D10,D11,D12,D19,D19)</f>
        <v>欣[test_inflation.xlsx]ZeroInflationCurve!R20C4ZeroInflationTermStructureHandle,A</v>
      </c>
      <c r="E20" s="48"/>
      <c r="F20" s="22"/>
    </row>
    <row r="21" spans="1:6" s="4" customFormat="1" x14ac:dyDescent="0.25">
      <c r="A21" s="125" t="s">
        <v>33</v>
      </c>
      <c r="B21" s="74" t="str">
        <f>_xll.qlZeroInflationCurveAsIts(B4,B5:B7,B8:B10,B11,B12,,B2)</f>
        <v>欣[test_inflation.xlsx]ZeroInflationCurve!R21C2ZeroInflationCurve,A</v>
      </c>
      <c r="C21" s="74"/>
      <c r="D21" s="128" t="str">
        <f>_xll.qlZeroInflationCurveAsIts(D4,D5:D7,D8:D10,D11,D12,D19,D19)</f>
        <v>欣[test_inflation.xlsx]ZeroInflationCurve!R21C4ZeroInflationCurve,A</v>
      </c>
      <c r="E21" s="75"/>
      <c r="F21" s="22"/>
    </row>
    <row r="22" spans="1:6" s="4" customFormat="1" x14ac:dyDescent="0.25">
      <c r="A22" s="234" t="s">
        <v>34</v>
      </c>
      <c r="B22" s="66">
        <f>_xll.qlZeroInflationCurveDates(B21,B21)</f>
        <v>45292</v>
      </c>
      <c r="C22" s="66"/>
      <c r="D22" s="66">
        <f>_xll.qlZeroInflationCurveDates(D21,D21)</f>
        <v>45292</v>
      </c>
      <c r="E22" s="109"/>
      <c r="F22" s="22"/>
    </row>
    <row r="23" spans="1:6" s="4" customFormat="1" x14ac:dyDescent="0.25">
      <c r="A23" s="95" t="s">
        <v>34</v>
      </c>
      <c r="B23" s="238" t="s">
        <v>444</v>
      </c>
      <c r="C23" s="52"/>
      <c r="D23" s="238" t="s">
        <v>444</v>
      </c>
      <c r="E23" s="57"/>
      <c r="F23" s="22"/>
    </row>
    <row r="24" spans="1:6" s="4" customFormat="1" x14ac:dyDescent="0.25">
      <c r="A24" s="234" t="s">
        <v>35</v>
      </c>
      <c r="B24" s="19">
        <f>_xll.qlZeroInflationCurveTimes(B21,B21)</f>
        <v>0</v>
      </c>
      <c r="C24" s="19"/>
      <c r="D24" s="19">
        <f>_xll.qlZeroInflationCurveTimes(D21,D21)</f>
        <v>0</v>
      </c>
      <c r="E24" s="109"/>
      <c r="F24" s="22"/>
    </row>
    <row r="25" spans="1:6" s="4" customFormat="1" x14ac:dyDescent="0.25">
      <c r="A25" s="95" t="s">
        <v>35</v>
      </c>
      <c r="B25" s="239" t="s">
        <v>448</v>
      </c>
      <c r="C25" s="22"/>
      <c r="D25" s="239" t="s">
        <v>448</v>
      </c>
      <c r="E25" s="57"/>
      <c r="F25" s="22"/>
    </row>
    <row r="26" spans="1:6" s="4" customFormat="1" x14ac:dyDescent="0.25">
      <c r="A26" s="240" t="s">
        <v>36</v>
      </c>
      <c r="B26" s="19">
        <f>_xll.qlZeroInflationCurveData(B21,B21)</f>
        <v>0.01</v>
      </c>
      <c r="C26" s="19"/>
      <c r="D26" s="19">
        <f>_xll.qlZeroInflationCurveData(D21,D21)</f>
        <v>0.01</v>
      </c>
      <c r="E26" s="109"/>
      <c r="F26" s="22"/>
    </row>
    <row r="27" spans="1:6" s="4" customFormat="1" x14ac:dyDescent="0.25">
      <c r="A27" s="241" t="s">
        <v>36</v>
      </c>
      <c r="B27" s="239" t="s">
        <v>449</v>
      </c>
      <c r="C27" s="22"/>
      <c r="D27" s="239" t="s">
        <v>449</v>
      </c>
      <c r="E27" s="57"/>
      <c r="F27" s="22"/>
    </row>
    <row r="28" spans="1:6" s="4" customFormat="1" x14ac:dyDescent="0.25">
      <c r="A28" s="242" t="s">
        <v>37</v>
      </c>
      <c r="B28" s="19">
        <f>_xll.qlZeroInflationCurveRates(B21,B21)</f>
        <v>0.01</v>
      </c>
      <c r="C28" s="19"/>
      <c r="D28" s="19">
        <f>_xll.qlZeroInflationCurveRates(D21,D21)</f>
        <v>0.01</v>
      </c>
      <c r="E28" s="109"/>
      <c r="F28" s="22"/>
    </row>
    <row r="29" spans="1:6" s="4" customFormat="1" x14ac:dyDescent="0.25">
      <c r="A29" s="108" t="s">
        <v>37</v>
      </c>
      <c r="B29" s="239" t="s">
        <v>450</v>
      </c>
      <c r="C29" s="22"/>
      <c r="D29" s="239" t="s">
        <v>450</v>
      </c>
      <c r="E29" s="57"/>
      <c r="F29" s="22"/>
    </row>
    <row r="30" spans="1:6" s="4" customFormat="1" x14ac:dyDescent="0.25">
      <c r="A30" s="242" t="s">
        <v>38</v>
      </c>
      <c r="B30" s="66">
        <f>_xll.qlZeroInflationCurveNodes(B21,B21)</f>
        <v>45292</v>
      </c>
      <c r="C30" s="86"/>
      <c r="D30" s="66">
        <f>_xll.qlZeroInflationCurveNodes(D21,D21)</f>
        <v>45292</v>
      </c>
      <c r="E30" s="87"/>
      <c r="F30" s="22"/>
    </row>
    <row r="31" spans="1:6" s="4" customFormat="1" x14ac:dyDescent="0.25">
      <c r="A31" s="108" t="s">
        <v>38</v>
      </c>
      <c r="B31" s="239" t="s">
        <v>451</v>
      </c>
      <c r="C31" s="53"/>
      <c r="D31" s="239" t="s">
        <v>451</v>
      </c>
      <c r="E31" s="50"/>
      <c r="F31" s="22"/>
    </row>
    <row r="32" spans="1:6" s="4" customFormat="1" x14ac:dyDescent="0.25">
      <c r="A32" s="85" t="s">
        <v>14</v>
      </c>
      <c r="B32" s="66">
        <v>45809</v>
      </c>
      <c r="C32" s="86"/>
      <c r="D32" s="66">
        <v>45809</v>
      </c>
      <c r="E32" s="109"/>
      <c r="F32" s="22"/>
    </row>
    <row r="33" spans="1:6" s="4" customFormat="1" x14ac:dyDescent="0.25">
      <c r="A33" s="88" t="s">
        <v>53</v>
      </c>
      <c r="B33" s="52"/>
      <c r="C33" s="53"/>
      <c r="D33" s="52" t="b">
        <v>1</v>
      </c>
      <c r="E33" s="57"/>
      <c r="F33" s="22"/>
    </row>
    <row r="34" spans="1:6" s="4" customFormat="1" x14ac:dyDescent="0.25">
      <c r="A34" s="124" t="s">
        <v>47</v>
      </c>
      <c r="B34" s="91">
        <f>_xll.qlZeroInflationTermStructureZeroRate(B20,B32,,B20)</f>
        <v>0.02</v>
      </c>
      <c r="C34" s="68"/>
      <c r="D34" s="91">
        <f>_xll.qlZeroInflationTermStructureZeroRate(D20,D32,D33,D20)</f>
        <v>2.0000000000000018E-2</v>
      </c>
      <c r="E34" s="48"/>
      <c r="F34" s="22"/>
    </row>
    <row r="35" spans="1:6" s="4" customFormat="1" x14ac:dyDescent="0.25">
      <c r="A35" s="85" t="s">
        <v>14</v>
      </c>
      <c r="B35" s="66">
        <v>45809</v>
      </c>
      <c r="C35" s="66"/>
      <c r="D35" s="66">
        <v>45809</v>
      </c>
      <c r="E35" s="109"/>
    </row>
    <row r="36" spans="1:6" s="4" customFormat="1" x14ac:dyDescent="0.25">
      <c r="A36" s="88" t="s">
        <v>54</v>
      </c>
      <c r="B36" s="53" t="s">
        <v>56</v>
      </c>
      <c r="C36" s="52"/>
      <c r="D36" s="53" t="s">
        <v>56</v>
      </c>
      <c r="E36" s="57"/>
    </row>
    <row r="37" spans="1:6" s="4" customFormat="1" x14ac:dyDescent="0.25">
      <c r="A37" s="88" t="s">
        <v>55</v>
      </c>
      <c r="B37" s="53"/>
      <c r="C37" s="52"/>
      <c r="D37" s="53" t="b">
        <v>1</v>
      </c>
      <c r="E37" s="57"/>
    </row>
    <row r="38" spans="1:6" s="4" customFormat="1" x14ac:dyDescent="0.25">
      <c r="A38" s="88" t="s">
        <v>53</v>
      </c>
      <c r="B38" s="53"/>
      <c r="C38" s="52"/>
      <c r="D38" s="53" t="b">
        <v>1</v>
      </c>
      <c r="E38" s="57"/>
    </row>
    <row r="39" spans="1:6" s="4" customFormat="1" x14ac:dyDescent="0.25">
      <c r="A39" s="124" t="s">
        <v>48</v>
      </c>
      <c r="B39" s="91">
        <f>_xll.qlZeroInflationTermStructureZeroRate2(B20,B35,B36,,,B20)</f>
        <v>0.02</v>
      </c>
      <c r="C39" s="68"/>
      <c r="D39" s="91">
        <f>_xll.qlZeroInflationTermStructureZeroRate2(D20,D35,D36,D37,D38,D20)</f>
        <v>2.4136986301369845E-2</v>
      </c>
      <c r="E39" s="48"/>
    </row>
    <row r="40" spans="1:6" s="4" customFormat="1" x14ac:dyDescent="0.25">
      <c r="A40" s="130" t="s">
        <v>57</v>
      </c>
      <c r="B40" s="131">
        <v>1.5</v>
      </c>
      <c r="C40" s="116"/>
      <c r="D40" s="131">
        <v>1.5</v>
      </c>
      <c r="E40" s="60"/>
    </row>
    <row r="41" spans="1:6" s="4" customFormat="1" x14ac:dyDescent="0.25">
      <c r="A41" s="132" t="s">
        <v>53</v>
      </c>
      <c r="B41" s="118"/>
      <c r="C41" s="119"/>
      <c r="D41" s="118" t="b">
        <v>1</v>
      </c>
      <c r="E41" s="61"/>
    </row>
    <row r="42" spans="1:6" s="4" customFormat="1" x14ac:dyDescent="0.25">
      <c r="A42" s="133" t="s">
        <v>49</v>
      </c>
      <c r="B42" s="118">
        <f>_xll.qlZeroInflationTermStructureZeroRate3(B20,B40,,B20)</f>
        <v>2.4972602739726027E-2</v>
      </c>
      <c r="C42" s="119"/>
      <c r="D42" s="118">
        <f>_xll.qlZeroInflationTermStructureZeroRate3(D20,D40,D41,D20)</f>
        <v>2.4972602739726027E-2</v>
      </c>
      <c r="E42" s="61"/>
    </row>
    <row r="43" spans="1:6" s="4" customFormat="1" x14ac:dyDescent="0.25">
      <c r="A43" s="135" t="s">
        <v>39</v>
      </c>
      <c r="B43" s="136" t="str">
        <f>_xll.qlInflationTermStructureObservationLag(B21,B21)</f>
        <v>0D</v>
      </c>
      <c r="C43" s="136"/>
      <c r="D43" s="136" t="str">
        <f>_xll.qlInflationTermStructureObservationLag(D21,D21)</f>
        <v>0D</v>
      </c>
      <c r="E43" s="75"/>
    </row>
    <row r="44" spans="1:6" s="4" customFormat="1" x14ac:dyDescent="0.25">
      <c r="A44" s="111" t="s">
        <v>40</v>
      </c>
      <c r="B44" s="134" t="str">
        <f>_xll.qlInflationTermStructureFrequency(B21,B21)</f>
        <v>ANNUAL</v>
      </c>
      <c r="C44" s="77"/>
      <c r="D44" s="134" t="str">
        <f>_xll.qlInflationTermStructureFrequency(D21,D21)</f>
        <v>ANNUAL</v>
      </c>
      <c r="E44" s="57"/>
    </row>
    <row r="45" spans="1:6" s="4" customFormat="1" x14ac:dyDescent="0.25">
      <c r="A45" s="137" t="s">
        <v>42</v>
      </c>
      <c r="B45" s="128">
        <f>_xll.qlInflationTermStructureBaseDate(B21,B21)</f>
        <v>45292</v>
      </c>
      <c r="C45" s="128"/>
      <c r="D45" s="128">
        <f>_xll.qlInflationTermStructureBaseDate(D21,D21)</f>
        <v>45292</v>
      </c>
      <c r="E45" s="75"/>
    </row>
    <row r="46" spans="1:6" s="4" customFormat="1" x14ac:dyDescent="0.25">
      <c r="A46" s="108" t="s">
        <v>43</v>
      </c>
      <c r="B46" s="52" t="b">
        <f>_xll.qlInflationTermStructureHasExplicitBaseDate(B21,B21)</f>
        <v>1</v>
      </c>
      <c r="C46" s="52"/>
      <c r="D46" s="52" t="b">
        <f>_xll.qlInflationTermStructureHasExplicitBaseDate(D21,D21)</f>
        <v>1</v>
      </c>
      <c r="E46" s="57"/>
    </row>
    <row r="47" spans="1:6" s="4" customFormat="1" x14ac:dyDescent="0.25">
      <c r="A47" s="137" t="s">
        <v>45</v>
      </c>
      <c r="B47" s="74" t="b">
        <f>ISERROR(_xll.qlInflationTermStructureSeasonality(B21))</f>
        <v>1</v>
      </c>
      <c r="C47" s="74"/>
      <c r="D47" s="74" t="str">
        <f>_xll.qlInflationTermStructureSeasonality(D21)</f>
        <v>欣[test_inflation.xlsx]ZeroInflationCurve!R47C4Seasonality,A</v>
      </c>
      <c r="E47" s="75"/>
    </row>
    <row r="48" spans="1:6" s="4" customFormat="1" x14ac:dyDescent="0.25">
      <c r="A48" s="95" t="s">
        <v>46</v>
      </c>
      <c r="B48" s="52" t="b">
        <f>_xll.qlInflationTermStructureHasSeasonality(B21,B21)</f>
        <v>0</v>
      </c>
      <c r="C48" s="52"/>
      <c r="D48" s="52" t="b">
        <f>_xll.qlInflationTermStructureHasSeasonality(D21,D21)</f>
        <v>1</v>
      </c>
      <c r="E48" s="57"/>
    </row>
    <row r="49" spans="1:5" s="4" customFormat="1" x14ac:dyDescent="0.25">
      <c r="A49" s="73" t="s">
        <v>44</v>
      </c>
      <c r="B49" s="128" t="b">
        <f>_xll.qlInflationTermStructureSetSeasonality(B21,D19,B48)</f>
        <v>1</v>
      </c>
      <c r="C49" s="74"/>
      <c r="D49" s="74"/>
      <c r="E49" s="75"/>
    </row>
    <row r="50" spans="1:5" s="4" customFormat="1" x14ac:dyDescent="0.25">
      <c r="A50" s="125" t="s">
        <v>46</v>
      </c>
      <c r="B50" s="128" t="b">
        <f>_xll.qlInflationTermStructureHasSeasonality(B21,B49)</f>
        <v>1</v>
      </c>
      <c r="C50" s="74"/>
      <c r="D50" s="74"/>
      <c r="E50" s="75"/>
    </row>
    <row r="51" spans="1:5" s="4" customFormat="1" x14ac:dyDescent="0.25">
      <c r="A51" s="1"/>
    </row>
    <row r="52" spans="1:5" s="4" customFormat="1" x14ac:dyDescent="0.25">
      <c r="A52" s="1"/>
    </row>
    <row r="53" spans="1:5" s="4" customFormat="1" x14ac:dyDescent="0.25">
      <c r="A53" s="6"/>
    </row>
    <row r="54" spans="1:5" s="4" customFormat="1" x14ac:dyDescent="0.25">
      <c r="A54" s="1"/>
    </row>
    <row r="55" spans="1:5" s="4" customFormat="1" x14ac:dyDescent="0.25">
      <c r="A55" s="1"/>
    </row>
    <row r="56" spans="1:5" s="4" customFormat="1" x14ac:dyDescent="0.25">
      <c r="A56" s="1"/>
    </row>
    <row r="57" spans="1:5" s="4" customFormat="1" x14ac:dyDescent="0.25">
      <c r="A57" s="1"/>
    </row>
    <row r="58" spans="1:5" s="4" customFormat="1" x14ac:dyDescent="0.25">
      <c r="A58" s="12"/>
      <c r="B58" s="2"/>
      <c r="C58" s="2"/>
    </row>
    <row r="59" spans="1:5" s="4" customFormat="1" x14ac:dyDescent="0.25">
      <c r="A59" s="12"/>
      <c r="B59" s="2"/>
      <c r="C59" s="2"/>
    </row>
    <row r="60" spans="1:5" s="4" customFormat="1" x14ac:dyDescent="0.25">
      <c r="A60" s="12"/>
    </row>
    <row r="61" spans="1:5" s="4" customFormat="1" x14ac:dyDescent="0.25">
      <c r="A61" s="12"/>
    </row>
    <row r="62" spans="1:5" s="4" customFormat="1" x14ac:dyDescent="0.25">
      <c r="A62" s="7"/>
      <c r="B62" s="11"/>
      <c r="C62" s="11"/>
    </row>
    <row r="63" spans="1:5" s="4" customFormat="1" x14ac:dyDescent="0.25">
      <c r="A63" s="9"/>
    </row>
    <row r="64" spans="1:5" s="4" customFormat="1" x14ac:dyDescent="0.25">
      <c r="A64" s="1"/>
    </row>
    <row r="65" spans="1:1" s="4" customFormat="1" x14ac:dyDescent="0.25">
      <c r="A65" s="1"/>
    </row>
    <row r="66" spans="1:1" s="4" customFormat="1" x14ac:dyDescent="0.25">
      <c r="A66" s="1"/>
    </row>
    <row r="67" spans="1:1" s="4" customFormat="1" x14ac:dyDescent="0.25">
      <c r="A67" s="1"/>
    </row>
    <row r="68" spans="1:1" s="4" customFormat="1" x14ac:dyDescent="0.25">
      <c r="A68" s="1"/>
    </row>
    <row r="69" spans="1:1" s="4" customFormat="1" x14ac:dyDescent="0.25">
      <c r="A69" s="1"/>
    </row>
    <row r="70" spans="1:1" s="4" customFormat="1" x14ac:dyDescent="0.25">
      <c r="A70" s="1"/>
    </row>
    <row r="71" spans="1:1" s="4" customFormat="1" x14ac:dyDescent="0.25">
      <c r="A71" s="1"/>
    </row>
    <row r="72" spans="1:1" s="4" customFormat="1" x14ac:dyDescent="0.25">
      <c r="A72" s="1"/>
    </row>
    <row r="73" spans="1:1" s="4" customFormat="1" x14ac:dyDescent="0.25">
      <c r="A73" s="1"/>
    </row>
    <row r="74" spans="1:1" s="4" customFormat="1" x14ac:dyDescent="0.25">
      <c r="A74" s="1"/>
    </row>
    <row r="75" spans="1:1" s="4" customFormat="1" x14ac:dyDescent="0.25">
      <c r="A75" s="1"/>
    </row>
    <row r="76" spans="1:1" s="4" customFormat="1" x14ac:dyDescent="0.25">
      <c r="A76" s="1"/>
    </row>
    <row r="77" spans="1:1" s="4" customFormat="1" x14ac:dyDescent="0.25">
      <c r="A77" s="1"/>
    </row>
    <row r="78" spans="1:1" s="4" customFormat="1" x14ac:dyDescent="0.25">
      <c r="A78" s="1"/>
    </row>
    <row r="79" spans="1:1" s="4" customFormat="1" x14ac:dyDescent="0.25">
      <c r="A79" s="1"/>
    </row>
    <row r="80" spans="1:1" s="4" customFormat="1" x14ac:dyDescent="0.25">
      <c r="A80" s="1"/>
    </row>
    <row r="81" spans="1:1" s="4" customFormat="1" x14ac:dyDescent="0.25">
      <c r="A81" s="1"/>
    </row>
    <row r="82" spans="1:1" s="4" customFormat="1" x14ac:dyDescent="0.25">
      <c r="A82" s="1"/>
    </row>
    <row r="83" spans="1:1" s="4" customFormat="1" x14ac:dyDescent="0.25">
      <c r="A83" s="1"/>
    </row>
    <row r="84" spans="1:1" s="4" customFormat="1" x14ac:dyDescent="0.25">
      <c r="A84" s="1"/>
    </row>
    <row r="85" spans="1:1" s="4" customFormat="1" x14ac:dyDescent="0.25">
      <c r="A85" s="1"/>
    </row>
    <row r="86" spans="1:1" s="4" customFormat="1" x14ac:dyDescent="0.25">
      <c r="A86" s="1"/>
    </row>
    <row r="87" spans="1:1" s="4" customFormat="1" x14ac:dyDescent="0.25">
      <c r="A87" s="1"/>
    </row>
  </sheetData>
  <hyperlinks>
    <hyperlink ref="B49" r:id="rId1" display="#=@qlInflationTermStructureSetSeasonality(B21;D19;B21)" xr:uid="{58CDF3CD-EC4F-42D2-B05F-36B4161EDF14}"/>
  </hyperlinks>
  <pageMargins left="0.7" right="0.7" top="0.78740157499999996" bottom="0.78740157499999996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A07A2-00FA-4DA5-BEB2-B672A5EEAE81}">
  <dimension ref="A1:F9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11.5703125" defaultRowHeight="15" x14ac:dyDescent="0.25"/>
  <cols>
    <col min="1" max="1" width="57.85546875" customWidth="1"/>
    <col min="2" max="2" width="94.5703125" style="4" customWidth="1"/>
    <col min="3" max="3" width="11.42578125" style="4" customWidth="1"/>
    <col min="4" max="4" width="75.28515625" style="4" customWidth="1"/>
    <col min="5" max="6" width="11.5703125" style="4"/>
  </cols>
  <sheetData>
    <row r="1" spans="1:5" x14ac:dyDescent="0.25">
      <c r="A1" t="s">
        <v>2</v>
      </c>
      <c r="B1" s="2">
        <v>45293</v>
      </c>
      <c r="C1" s="2"/>
      <c r="D1" s="8"/>
    </row>
    <row r="2" spans="1:5" x14ac:dyDescent="0.25">
      <c r="A2" t="s">
        <v>3</v>
      </c>
      <c r="B2" s="2">
        <f>_xll.qlSettingsSetEvaluationDate(B1)</f>
        <v>45293</v>
      </c>
      <c r="C2" s="2"/>
    </row>
    <row r="3" spans="1:5" x14ac:dyDescent="0.25">
      <c r="B3" s="2"/>
    </row>
    <row r="4" spans="1:5" x14ac:dyDescent="0.25">
      <c r="A4" s="49" t="s">
        <v>30</v>
      </c>
      <c r="B4" s="66">
        <v>45292</v>
      </c>
      <c r="C4" s="66"/>
      <c r="D4" s="66">
        <v>45292</v>
      </c>
      <c r="E4" s="109"/>
    </row>
    <row r="5" spans="1:5" s="4" customFormat="1" x14ac:dyDescent="0.25">
      <c r="A5" s="54" t="s">
        <v>50</v>
      </c>
      <c r="B5" s="52">
        <v>44927</v>
      </c>
      <c r="C5" s="52"/>
      <c r="D5" s="52">
        <v>44927</v>
      </c>
      <c r="E5" s="57"/>
    </row>
    <row r="6" spans="1:5" s="4" customFormat="1" x14ac:dyDescent="0.25">
      <c r="A6" s="54" t="s">
        <v>12</v>
      </c>
      <c r="B6" s="52" t="s">
        <v>81</v>
      </c>
      <c r="C6" s="52"/>
      <c r="D6" s="52" t="s">
        <v>81</v>
      </c>
      <c r="E6" s="57"/>
    </row>
    <row r="7" spans="1:5" s="4" customFormat="1" x14ac:dyDescent="0.25">
      <c r="A7" s="54" t="s">
        <v>31</v>
      </c>
      <c r="B7" s="52" t="s">
        <v>52</v>
      </c>
      <c r="C7" s="52"/>
      <c r="D7" s="52" t="s">
        <v>52</v>
      </c>
      <c r="E7" s="57"/>
    </row>
    <row r="8" spans="1:5" s="4" customFormat="1" x14ac:dyDescent="0.25">
      <c r="A8" s="85" t="s">
        <v>72</v>
      </c>
      <c r="B8" s="86">
        <v>0.02</v>
      </c>
      <c r="C8" s="66"/>
      <c r="D8" s="86">
        <v>0.02</v>
      </c>
      <c r="E8" s="109"/>
    </row>
    <row r="9" spans="1:5" s="4" customFormat="1" x14ac:dyDescent="0.25">
      <c r="A9" s="88" t="s">
        <v>73</v>
      </c>
      <c r="B9" s="52" t="s">
        <v>17</v>
      </c>
      <c r="C9" s="52"/>
      <c r="D9" s="52" t="s">
        <v>17</v>
      </c>
      <c r="E9" s="57"/>
    </row>
    <row r="10" spans="1:5" s="4" customFormat="1" x14ac:dyDescent="0.25">
      <c r="A10" s="88" t="s">
        <v>74</v>
      </c>
      <c r="B10" s="52">
        <v>46753</v>
      </c>
      <c r="C10" s="52"/>
      <c r="D10" s="52">
        <v>46753</v>
      </c>
      <c r="E10" s="57"/>
    </row>
    <row r="11" spans="1:5" s="4" customFormat="1" x14ac:dyDescent="0.25">
      <c r="A11" s="88" t="s">
        <v>75</v>
      </c>
      <c r="B11" s="52" t="s">
        <v>78</v>
      </c>
      <c r="C11" s="52"/>
      <c r="D11" s="52" t="s">
        <v>78</v>
      </c>
      <c r="E11" s="57"/>
    </row>
    <row r="12" spans="1:5" s="4" customFormat="1" x14ac:dyDescent="0.25">
      <c r="A12" s="88" t="s">
        <v>76</v>
      </c>
      <c r="B12" s="52" t="s">
        <v>79</v>
      </c>
      <c r="C12" s="52"/>
      <c r="D12" s="52" t="s">
        <v>79</v>
      </c>
      <c r="E12" s="57"/>
    </row>
    <row r="13" spans="1:5" s="4" customFormat="1" x14ac:dyDescent="0.25">
      <c r="A13" s="88" t="s">
        <v>31</v>
      </c>
      <c r="B13" s="52" t="s">
        <v>52</v>
      </c>
      <c r="C13" s="52"/>
      <c r="D13" s="52" t="s">
        <v>52</v>
      </c>
      <c r="E13" s="57"/>
    </row>
    <row r="14" spans="1:5" s="4" customFormat="1" x14ac:dyDescent="0.25">
      <c r="A14" s="64" t="s">
        <v>18</v>
      </c>
      <c r="B14" s="66">
        <v>45292</v>
      </c>
      <c r="C14" s="66"/>
      <c r="D14" s="66">
        <v>45292</v>
      </c>
      <c r="E14" s="109"/>
    </row>
    <row r="15" spans="1:5" s="4" customFormat="1" x14ac:dyDescent="0.25">
      <c r="A15" s="65" t="s">
        <v>18</v>
      </c>
      <c r="B15" s="52">
        <v>45658</v>
      </c>
      <c r="C15" s="52"/>
      <c r="D15" s="52">
        <v>45658</v>
      </c>
      <c r="E15" s="57"/>
    </row>
    <row r="16" spans="1:5" s="4" customFormat="1" x14ac:dyDescent="0.25">
      <c r="A16" s="65" t="s">
        <v>19</v>
      </c>
      <c r="B16" s="22">
        <v>0.01</v>
      </c>
      <c r="C16" s="52"/>
      <c r="D16" s="22">
        <v>0.01</v>
      </c>
      <c r="E16" s="57"/>
    </row>
    <row r="17" spans="1:5" s="4" customFormat="1" x14ac:dyDescent="0.25">
      <c r="A17" s="65" t="s">
        <v>19</v>
      </c>
      <c r="B17" s="22">
        <v>0.02</v>
      </c>
      <c r="C17" s="52"/>
      <c r="D17" s="22">
        <v>0.02</v>
      </c>
      <c r="E17" s="57"/>
    </row>
    <row r="18" spans="1:5" s="4" customFormat="1" x14ac:dyDescent="0.25">
      <c r="A18" s="65" t="s">
        <v>15</v>
      </c>
      <c r="B18" s="90" t="str">
        <f>_xll.qlZeroInflationCurve(B2,B14:B15,B16:B17,"semiannual","act/360",,$B$2)</f>
        <v>欣[test_inflation.xlsx]ZeroPiecewiseInflationCurve!R18C2ZeroInflationTermStructureHandle,A</v>
      </c>
      <c r="C18" s="52"/>
      <c r="D18" s="90" t="str">
        <f>_xll.qlZeroInflationCurve(B2,D14:D15,D16:D17,"semiannual","act/360",,$B$2)</f>
        <v>欣[test_inflation.xlsx]ZeroPiecewiseInflationCurve!R18C4ZeroInflationTermStructureHandle,A</v>
      </c>
      <c r="E18" s="57"/>
    </row>
    <row r="19" spans="1:5" s="4" customFormat="1" x14ac:dyDescent="0.25">
      <c r="A19" s="76" t="s">
        <v>89</v>
      </c>
      <c r="B19" s="83" t="str">
        <f>_xll.qlAUCPI("Annual",FALSE,B18,B18)</f>
        <v>欣[test_inflation.xlsx]ZeroPiecewiseInflationCurve!R19C2AUCPI,A</v>
      </c>
      <c r="C19" s="68"/>
      <c r="D19" s="83" t="str">
        <f>_xll.qlAUCPI("Annual",FALSE,D18,D18)</f>
        <v>欣[test_inflation.xlsx]ZeroPiecewiseInflationCurve!R19C4AUCPI,A</v>
      </c>
      <c r="E19" s="48"/>
    </row>
    <row r="20" spans="1:5" s="4" customFormat="1" x14ac:dyDescent="0.25">
      <c r="A20" s="69" t="s">
        <v>14</v>
      </c>
      <c r="B20" s="66">
        <v>44927</v>
      </c>
      <c r="C20" s="66"/>
      <c r="D20" s="66">
        <v>44927</v>
      </c>
      <c r="E20" s="109"/>
    </row>
    <row r="21" spans="1:5" s="4" customFormat="1" x14ac:dyDescent="0.25">
      <c r="A21" s="70" t="s">
        <v>22</v>
      </c>
      <c r="B21" s="53">
        <v>102</v>
      </c>
      <c r="C21" s="52"/>
      <c r="D21" s="53">
        <v>102</v>
      </c>
      <c r="E21" s="57"/>
    </row>
    <row r="22" spans="1:5" s="4" customFormat="1" x14ac:dyDescent="0.25">
      <c r="A22" s="79" t="s">
        <v>21</v>
      </c>
      <c r="B22" s="84" t="b">
        <f>_xll.qlIndexAddFixing(B19,B20,B21,,B19)</f>
        <v>1</v>
      </c>
      <c r="C22" s="68"/>
      <c r="D22" s="84" t="b">
        <f>_xll.qlIndexAddFixing(D19,D20,D21,,D19)</f>
        <v>1</v>
      </c>
      <c r="E22" s="48"/>
    </row>
    <row r="23" spans="1:5" s="4" customFormat="1" x14ac:dyDescent="0.25">
      <c r="A23" s="88" t="s">
        <v>77</v>
      </c>
      <c r="B23" s="52" t="s">
        <v>80</v>
      </c>
      <c r="C23" s="52"/>
      <c r="D23" s="52" t="s">
        <v>80</v>
      </c>
      <c r="E23" s="57"/>
    </row>
    <row r="24" spans="1:5" s="4" customFormat="1" x14ac:dyDescent="0.25">
      <c r="A24" s="88" t="s">
        <v>83</v>
      </c>
      <c r="B24" s="52" t="str">
        <f>_xll.qlFlatForward(B2,0.03,"actual365fixed",,,B22)</f>
        <v>欣[test_inflation.xlsx]ZeroPiecewiseInflationCurve!R24C2YieldTermStructureHandle,A</v>
      </c>
      <c r="C24" s="52"/>
      <c r="D24" s="52" t="str">
        <f>_xll.qlFlatForward(B2,0.03,"actual365fixed",,,D22)</f>
        <v>欣[test_inflation.xlsx]ZeroPiecewiseInflationCurve!R24C4YieldTermStructureHandle,A</v>
      </c>
      <c r="E24" s="57"/>
    </row>
    <row r="25" spans="1:5" s="4" customFormat="1" x14ac:dyDescent="0.25">
      <c r="A25" s="123" t="s">
        <v>68</v>
      </c>
      <c r="B25" s="91" t="str">
        <f>_xll.qlZeroCouponInflationSwapHelper(B8,B9,B10,B11,B12,B13,B19,B23,B24,B24)</f>
        <v>欣[test_inflation.xlsx]ZeroPiecewiseInflationCurve!R25C2ZeroCouponInflationSwapHelper,A</v>
      </c>
      <c r="C25" s="91"/>
      <c r="D25" s="91" t="str">
        <f>_xll.qlZeroCouponInflationSwapHelper(D8,D9,D10,D11,D12,D13,D19,D23,D24,D24)</f>
        <v>欣[test_inflation.xlsx]ZeroPiecewiseInflationCurve!R25C4ZeroCouponInflationSwapHelper,A</v>
      </c>
      <c r="E25" s="48"/>
    </row>
    <row r="26" spans="1:5" s="4" customFormat="1" x14ac:dyDescent="0.25">
      <c r="A26" s="138" t="s">
        <v>50</v>
      </c>
      <c r="B26" s="118"/>
      <c r="C26" s="118"/>
      <c r="D26" s="119">
        <v>45292</v>
      </c>
      <c r="E26" s="61"/>
    </row>
    <row r="27" spans="1:5" s="4" customFormat="1" x14ac:dyDescent="0.25">
      <c r="A27" s="138" t="s">
        <v>12</v>
      </c>
      <c r="B27" s="118"/>
      <c r="C27" s="118"/>
      <c r="D27" s="118" t="s">
        <v>13</v>
      </c>
      <c r="E27" s="61"/>
    </row>
    <row r="28" spans="1:5" s="4" customFormat="1" x14ac:dyDescent="0.25">
      <c r="A28" s="138" t="s">
        <v>51</v>
      </c>
      <c r="B28" s="118"/>
      <c r="C28" s="118"/>
      <c r="D28" s="118">
        <v>1</v>
      </c>
      <c r="E28" s="61"/>
    </row>
    <row r="29" spans="1:5" s="4" customFormat="1" x14ac:dyDescent="0.25">
      <c r="A29" s="138" t="s">
        <v>51</v>
      </c>
      <c r="B29" s="118"/>
      <c r="C29" s="118"/>
      <c r="D29" s="118">
        <v>1.02</v>
      </c>
      <c r="E29" s="61"/>
    </row>
    <row r="30" spans="1:5" s="4" customFormat="1" x14ac:dyDescent="0.25">
      <c r="A30" s="138" t="s">
        <v>51</v>
      </c>
      <c r="B30" s="118"/>
      <c r="C30" s="118"/>
      <c r="D30" s="118">
        <v>1.01</v>
      </c>
      <c r="E30" s="61"/>
    </row>
    <row r="31" spans="1:5" s="4" customFormat="1" x14ac:dyDescent="0.25">
      <c r="A31" s="138" t="s">
        <v>51</v>
      </c>
      <c r="B31" s="118"/>
      <c r="C31" s="118"/>
      <c r="D31" s="118">
        <v>1.03</v>
      </c>
      <c r="E31" s="61"/>
    </row>
    <row r="32" spans="1:5" s="4" customFormat="1" x14ac:dyDescent="0.25">
      <c r="A32" s="139" t="s">
        <v>32</v>
      </c>
      <c r="B32" s="118"/>
      <c r="C32" s="118"/>
      <c r="D32" s="118" t="str">
        <f>_xll.qlMultiplicativePriceSeasonality(D26,D27,D28:D31,D25)</f>
        <v>欣[test_inflation.xlsx]ZeroPiecewiseInflationCurve!R32C4MultiplicativePriceSeasonality,A</v>
      </c>
      <c r="E32" s="61"/>
    </row>
    <row r="33" spans="1:5" s="4" customFormat="1" x14ac:dyDescent="0.25">
      <c r="A33" s="67" t="s">
        <v>69</v>
      </c>
      <c r="B33" s="53"/>
      <c r="C33" s="53"/>
      <c r="D33" s="140">
        <v>9.9999999999999998E-13</v>
      </c>
      <c r="E33" s="57"/>
    </row>
    <row r="34" spans="1:5" s="4" customFormat="1" x14ac:dyDescent="0.25">
      <c r="A34" s="124" t="s">
        <v>70</v>
      </c>
      <c r="B34" s="25" t="str">
        <f>_xll.qlPiecewiseZeroInflation(B4,B5,B6,B7,B25,,,B25)</f>
        <v>欣[test_inflation.xlsx]ZeroPiecewiseInflationCurve!R34C2ZeroInflationTermStructureHandle,A</v>
      </c>
      <c r="C34" s="25"/>
      <c r="D34" s="25" t="str">
        <f>_xll.qlPiecewiseZeroInflation(D4,D5,D6,D7,D25,D32,D33,D32)</f>
        <v>欣[test_inflation.xlsx]ZeroPiecewiseInflationCurve!R34C4ZeroInflationTermStructureHandle,A</v>
      </c>
      <c r="E34" s="48"/>
    </row>
    <row r="35" spans="1:5" s="4" customFormat="1" x14ac:dyDescent="0.25">
      <c r="A35" s="125" t="s">
        <v>71</v>
      </c>
      <c r="B35" s="74" t="str">
        <f>_xll.qlPiecewiseZeroInflationAsIts(B4,B5,B6,B7,B25,,,B25)</f>
        <v>欣[test_inflation.xlsx]ZeroPiecewiseInflationCurve!R35C2PiecewiseZeroInflation,A</v>
      </c>
      <c r="C35" s="74"/>
      <c r="D35" s="128" t="str">
        <f>_xll.qlPiecewiseZeroInflationAsIts(D4,D5,D6,D7,D25,D32,D33,D32)</f>
        <v>欣[test_inflation.xlsx]ZeroPiecewiseInflationCurve!R35C4PiecewiseZeroInflation,A</v>
      </c>
      <c r="E35" s="75"/>
    </row>
    <row r="36" spans="1:5" s="4" customFormat="1" x14ac:dyDescent="0.25">
      <c r="A36" s="234" t="s">
        <v>82</v>
      </c>
      <c r="B36" s="66">
        <f>_xll.qlPiecewiseZeroInflationCurveDates(B35,B35)</f>
        <v>44927</v>
      </c>
      <c r="C36" s="66"/>
      <c r="D36" s="66">
        <f>_xll.qlPiecewiseZeroInflationCurveDates(D35,D35)</f>
        <v>44927</v>
      </c>
      <c r="E36" s="109"/>
    </row>
    <row r="37" spans="1:5" s="4" customFormat="1" x14ac:dyDescent="0.25">
      <c r="A37" s="197"/>
      <c r="B37" s="243" t="s">
        <v>452</v>
      </c>
      <c r="C37" s="68"/>
      <c r="D37" s="243" t="s">
        <v>452</v>
      </c>
      <c r="E37" s="48"/>
    </row>
    <row r="38" spans="1:5" s="4" customFormat="1" x14ac:dyDescent="0.25">
      <c r="A38" s="196" t="s">
        <v>453</v>
      </c>
      <c r="B38" s="66">
        <f>_xll.qlPiecewiseZeroInflationCurveTimes(B35,B35)</f>
        <v>-1</v>
      </c>
      <c r="C38" s="19"/>
      <c r="D38" s="66">
        <f>_xll.qlPiecewiseZeroInflationCurveTimes(D35,D35)</f>
        <v>-1</v>
      </c>
      <c r="E38" s="109"/>
    </row>
    <row r="39" spans="1:5" s="4" customFormat="1" x14ac:dyDescent="0.25">
      <c r="A39" s="197"/>
      <c r="B39" s="243" t="s">
        <v>458</v>
      </c>
      <c r="C39" s="25"/>
      <c r="D39" s="243" t="s">
        <v>458</v>
      </c>
      <c r="E39" s="48"/>
    </row>
    <row r="40" spans="1:5" s="4" customFormat="1" x14ac:dyDescent="0.25">
      <c r="A40" s="240" t="s">
        <v>454</v>
      </c>
      <c r="B40" s="19">
        <f>_xll.qlPiecewiseZeroInflationCurveData(B35,B35)</f>
        <v>0.02</v>
      </c>
      <c r="C40" s="19"/>
      <c r="D40" s="19">
        <f>_xll.qlPiecewiseZeroInflationCurveData(D35,D35)</f>
        <v>0.02</v>
      </c>
      <c r="E40" s="109"/>
    </row>
    <row r="41" spans="1:5" s="4" customFormat="1" x14ac:dyDescent="0.25">
      <c r="A41" s="244"/>
      <c r="B41" s="25" t="s">
        <v>456</v>
      </c>
      <c r="C41" s="25"/>
      <c r="D41" s="25" t="s">
        <v>456</v>
      </c>
      <c r="E41" s="48"/>
    </row>
    <row r="42" spans="1:5" s="4" customFormat="1" x14ac:dyDescent="0.25">
      <c r="A42" s="242" t="s">
        <v>455</v>
      </c>
      <c r="B42" s="66">
        <f>_xll.qlPiecewiseZeroInflationCurveNodes(B35,B35)</f>
        <v>44927</v>
      </c>
      <c r="C42" s="86"/>
      <c r="D42" s="66">
        <f>_xll.qlPiecewiseZeroInflationCurveNodes(D35,D35)</f>
        <v>44927</v>
      </c>
      <c r="E42" s="87"/>
    </row>
    <row r="43" spans="1:5" s="4" customFormat="1" x14ac:dyDescent="0.25">
      <c r="A43" s="198"/>
      <c r="B43" s="68" t="s">
        <v>457</v>
      </c>
      <c r="C43" s="91"/>
      <c r="D43" s="68" t="s">
        <v>457</v>
      </c>
      <c r="E43" s="56"/>
    </row>
    <row r="44" spans="1:5" s="4" customFormat="1" x14ac:dyDescent="0.25">
      <c r="A44" s="85" t="s">
        <v>14</v>
      </c>
      <c r="B44" s="66">
        <v>45809</v>
      </c>
      <c r="C44" s="86"/>
      <c r="D44" s="66">
        <v>45809</v>
      </c>
      <c r="E44" s="109"/>
    </row>
    <row r="45" spans="1:5" s="4" customFormat="1" x14ac:dyDescent="0.25">
      <c r="A45" s="88" t="s">
        <v>53</v>
      </c>
      <c r="B45" s="52"/>
      <c r="C45" s="53"/>
      <c r="D45" s="52" t="b">
        <v>1</v>
      </c>
      <c r="E45" s="57"/>
    </row>
    <row r="46" spans="1:5" s="4" customFormat="1" x14ac:dyDescent="0.25">
      <c r="A46" s="124" t="s">
        <v>47</v>
      </c>
      <c r="B46" s="91">
        <f>_xll.qlZeroInflationTermStructureZeroRate(B34,B44,,B34)</f>
        <v>0.02</v>
      </c>
      <c r="C46" s="68"/>
      <c r="D46" s="91">
        <f>_xll.qlZeroInflationTermStructureZeroRate(D34,D44,D45,D34)</f>
        <v>2.0000000000000018E-2</v>
      </c>
      <c r="E46" s="48"/>
    </row>
    <row r="47" spans="1:5" s="4" customFormat="1" x14ac:dyDescent="0.25">
      <c r="A47" s="85" t="s">
        <v>14</v>
      </c>
      <c r="B47" s="66">
        <v>45809</v>
      </c>
      <c r="C47" s="66"/>
      <c r="D47" s="66">
        <v>45809</v>
      </c>
      <c r="E47" s="109"/>
    </row>
    <row r="48" spans="1:5" s="4" customFormat="1" x14ac:dyDescent="0.25">
      <c r="A48" s="88" t="s">
        <v>54</v>
      </c>
      <c r="B48" s="53" t="s">
        <v>56</v>
      </c>
      <c r="C48" s="52"/>
      <c r="D48" s="53" t="s">
        <v>56</v>
      </c>
      <c r="E48" s="57"/>
    </row>
    <row r="49" spans="1:5" s="4" customFormat="1" x14ac:dyDescent="0.25">
      <c r="A49" s="88" t="s">
        <v>55</v>
      </c>
      <c r="B49" s="53"/>
      <c r="C49" s="52"/>
      <c r="D49" s="53" t="b">
        <v>1</v>
      </c>
      <c r="E49" s="57"/>
    </row>
    <row r="50" spans="1:5" s="4" customFormat="1" x14ac:dyDescent="0.25">
      <c r="A50" s="88" t="s">
        <v>53</v>
      </c>
      <c r="B50" s="53"/>
      <c r="C50" s="52"/>
      <c r="D50" s="53" t="b">
        <v>1</v>
      </c>
      <c r="E50" s="57"/>
    </row>
    <row r="51" spans="1:5" s="4" customFormat="1" x14ac:dyDescent="0.25">
      <c r="A51" s="124" t="s">
        <v>48</v>
      </c>
      <c r="B51" s="91">
        <f>_xll.qlZeroInflationTermStructureZeroRate2(B34,B47,B48,,,B34)</f>
        <v>0.02</v>
      </c>
      <c r="C51" s="68"/>
      <c r="D51" s="91">
        <f>_xll.qlZeroInflationTermStructureZeroRate2(D34,D47,D48,D49,D50,D34)</f>
        <v>2.0000000000000018E-2</v>
      </c>
      <c r="E51" s="48"/>
    </row>
    <row r="52" spans="1:5" s="4" customFormat="1" x14ac:dyDescent="0.25">
      <c r="A52" s="85" t="s">
        <v>57</v>
      </c>
      <c r="B52" s="86">
        <v>1.5</v>
      </c>
      <c r="C52" s="66"/>
      <c r="D52" s="86">
        <v>1.5</v>
      </c>
      <c r="E52" s="109"/>
    </row>
    <row r="53" spans="1:5" s="4" customFormat="1" x14ac:dyDescent="0.25">
      <c r="A53" s="88" t="s">
        <v>53</v>
      </c>
      <c r="B53" s="53"/>
      <c r="C53" s="52"/>
      <c r="D53" s="53" t="b">
        <v>1</v>
      </c>
      <c r="E53" s="57"/>
    </row>
    <row r="54" spans="1:5" s="4" customFormat="1" x14ac:dyDescent="0.25">
      <c r="A54" s="124" t="s">
        <v>49</v>
      </c>
      <c r="B54" s="91">
        <f>_xll.qlZeroInflationTermStructureZeroRate3(B34,B52,,B34)</f>
        <v>0.02</v>
      </c>
      <c r="C54" s="68"/>
      <c r="D54" s="91">
        <f>_xll.qlZeroInflationTermStructureZeroRate3(D34,D52,D53,D34)</f>
        <v>0.02</v>
      </c>
      <c r="E54" s="48"/>
    </row>
    <row r="55" spans="1:5" s="4" customFormat="1" x14ac:dyDescent="0.25">
      <c r="A55" s="143" t="s">
        <v>39</v>
      </c>
      <c r="B55" s="86" t="str">
        <f>_xll.qlInflationTermStructureObservationLag(B35,B35)</f>
        <v>0D</v>
      </c>
      <c r="C55" s="86"/>
      <c r="D55" s="86" t="str">
        <f>_xll.qlInflationTermStructureObservationLag(D35,D35)</f>
        <v>0D</v>
      </c>
      <c r="E55" s="109"/>
    </row>
    <row r="56" spans="1:5" s="4" customFormat="1" x14ac:dyDescent="0.25">
      <c r="A56" s="135" t="s">
        <v>40</v>
      </c>
      <c r="B56" s="141" t="str">
        <f>_xll.qlInflationTermStructureFrequency(B35,B35)</f>
        <v>ANNUAL</v>
      </c>
      <c r="C56" s="142"/>
      <c r="D56" s="141" t="str">
        <f>_xll.qlInflationTermStructureFrequency(D35,D35)</f>
        <v>ANNUAL</v>
      </c>
      <c r="E56" s="75"/>
    </row>
    <row r="57" spans="1:5" s="4" customFormat="1" x14ac:dyDescent="0.25">
      <c r="A57" s="137" t="s">
        <v>42</v>
      </c>
      <c r="B57" s="128">
        <f>_xll.qlInflationTermStructureBaseDate(B35,B35)</f>
        <v>44927</v>
      </c>
      <c r="C57" s="128"/>
      <c r="D57" s="128">
        <f>_xll.qlInflationTermStructureBaseDate(D35,D35)</f>
        <v>44927</v>
      </c>
      <c r="E57" s="75"/>
    </row>
    <row r="58" spans="1:5" s="4" customFormat="1" x14ac:dyDescent="0.25">
      <c r="A58" s="137" t="s">
        <v>43</v>
      </c>
      <c r="B58" s="128" t="b">
        <f>_xll.qlInflationTermStructureHasExplicitBaseDate(B35,B35)</f>
        <v>1</v>
      </c>
      <c r="C58" s="128"/>
      <c r="D58" s="128" t="b">
        <f>_xll.qlInflationTermStructureHasExplicitBaseDate(D35,D35)</f>
        <v>1</v>
      </c>
      <c r="E58" s="75"/>
    </row>
    <row r="59" spans="1:5" s="4" customFormat="1" x14ac:dyDescent="0.25">
      <c r="A59" s="108" t="s">
        <v>45</v>
      </c>
      <c r="B59" s="22" t="b">
        <f>ISERROR(_xll.qlInflationTermStructureSeasonality(B35,B35))</f>
        <v>1</v>
      </c>
      <c r="C59" s="22"/>
      <c r="D59" s="22" t="str">
        <f>_xll.qlInflationTermStructureSeasonality(D35,D35)</f>
        <v>欣[test_inflation.xlsx]ZeroPiecewiseInflationCurve!R59C4Seasonality,A</v>
      </c>
      <c r="E59" s="57"/>
    </row>
    <row r="60" spans="1:5" s="4" customFormat="1" x14ac:dyDescent="0.25">
      <c r="A60" s="125" t="s">
        <v>46</v>
      </c>
      <c r="B60" s="128" t="b">
        <f>_xll.qlInflationTermStructureHasSeasonality(B35,B35)</f>
        <v>0</v>
      </c>
      <c r="C60" s="128"/>
      <c r="D60" s="128" t="b">
        <f>_xll.qlInflationTermStructureHasSeasonality(D35,D35)</f>
        <v>1</v>
      </c>
      <c r="E60" s="75"/>
    </row>
    <row r="61" spans="1:5" s="4" customFormat="1" x14ac:dyDescent="0.25">
      <c r="A61" s="59" t="s">
        <v>44</v>
      </c>
      <c r="B61" s="128" t="b">
        <f>_xll.qlInflationTermStructureSetSeasonality(B35,D32,B35)</f>
        <v>1</v>
      </c>
      <c r="C61" s="22"/>
      <c r="D61" s="22"/>
      <c r="E61" s="57"/>
    </row>
    <row r="62" spans="1:5" s="4" customFormat="1" x14ac:dyDescent="0.25">
      <c r="A62" s="125" t="s">
        <v>46</v>
      </c>
      <c r="B62" s="128" t="b">
        <f>_xll.qlInflationTermStructureHasSeasonality(B35,B61)</f>
        <v>1</v>
      </c>
      <c r="C62" s="74"/>
      <c r="D62" s="128"/>
      <c r="E62" s="75"/>
    </row>
    <row r="63" spans="1:5" s="4" customFormat="1" x14ac:dyDescent="0.25">
      <c r="A63" s="1"/>
    </row>
    <row r="64" spans="1:5" s="4" customFormat="1" x14ac:dyDescent="0.25">
      <c r="A64" s="1"/>
    </row>
    <row r="65" spans="1:3" s="4" customFormat="1" x14ac:dyDescent="0.25">
      <c r="A65" s="6"/>
    </row>
    <row r="66" spans="1:3" s="4" customFormat="1" x14ac:dyDescent="0.25">
      <c r="A66" s="1"/>
    </row>
    <row r="67" spans="1:3" s="4" customFormat="1" x14ac:dyDescent="0.25">
      <c r="A67" s="1"/>
    </row>
    <row r="68" spans="1:3" s="4" customFormat="1" x14ac:dyDescent="0.25">
      <c r="A68" s="1"/>
    </row>
    <row r="69" spans="1:3" s="4" customFormat="1" x14ac:dyDescent="0.25">
      <c r="A69" s="1"/>
    </row>
    <row r="70" spans="1:3" s="4" customFormat="1" x14ac:dyDescent="0.25">
      <c r="A70" s="12"/>
      <c r="B70" s="2"/>
      <c r="C70" s="2"/>
    </row>
    <row r="71" spans="1:3" s="4" customFormat="1" x14ac:dyDescent="0.25">
      <c r="A71" s="12"/>
      <c r="B71" s="2"/>
      <c r="C71" s="2"/>
    </row>
    <row r="72" spans="1:3" s="4" customFormat="1" x14ac:dyDescent="0.25">
      <c r="A72" s="12"/>
    </row>
    <row r="73" spans="1:3" s="4" customFormat="1" x14ac:dyDescent="0.25">
      <c r="A73" s="12"/>
    </row>
    <row r="74" spans="1:3" s="4" customFormat="1" x14ac:dyDescent="0.25">
      <c r="A74" s="7"/>
      <c r="B74" s="11"/>
      <c r="C74" s="11"/>
    </row>
    <row r="75" spans="1:3" s="4" customFormat="1" x14ac:dyDescent="0.25">
      <c r="A75" s="9"/>
    </row>
    <row r="76" spans="1:3" s="4" customFormat="1" x14ac:dyDescent="0.25">
      <c r="A76" s="1"/>
    </row>
    <row r="77" spans="1:3" s="4" customFormat="1" x14ac:dyDescent="0.25">
      <c r="A77" s="1"/>
    </row>
    <row r="78" spans="1:3" s="4" customFormat="1" x14ac:dyDescent="0.25">
      <c r="A78" s="1"/>
    </row>
    <row r="79" spans="1:3" s="4" customFormat="1" x14ac:dyDescent="0.25">
      <c r="A79" s="1"/>
    </row>
    <row r="80" spans="1:3" s="4" customFormat="1" x14ac:dyDescent="0.25">
      <c r="A80" s="1"/>
    </row>
    <row r="81" spans="1:1" s="4" customFormat="1" x14ac:dyDescent="0.25">
      <c r="A81" s="1"/>
    </row>
    <row r="82" spans="1:1" s="4" customFormat="1" x14ac:dyDescent="0.25">
      <c r="A82" s="1"/>
    </row>
    <row r="83" spans="1:1" s="4" customFormat="1" x14ac:dyDescent="0.25">
      <c r="A83" s="1"/>
    </row>
    <row r="84" spans="1:1" s="4" customFormat="1" x14ac:dyDescent="0.25">
      <c r="A84" s="1"/>
    </row>
    <row r="85" spans="1:1" s="4" customFormat="1" x14ac:dyDescent="0.25">
      <c r="A85" s="1"/>
    </row>
    <row r="86" spans="1:1" s="4" customFormat="1" x14ac:dyDescent="0.25">
      <c r="A86" s="1"/>
    </row>
    <row r="87" spans="1:1" s="4" customFormat="1" x14ac:dyDescent="0.25">
      <c r="A87" s="1"/>
    </row>
    <row r="88" spans="1:1" s="4" customFormat="1" x14ac:dyDescent="0.25">
      <c r="A88" s="1"/>
    </row>
    <row r="89" spans="1:1" s="4" customFormat="1" x14ac:dyDescent="0.25">
      <c r="A89" s="1"/>
    </row>
    <row r="90" spans="1:1" s="4" customFormat="1" x14ac:dyDescent="0.25">
      <c r="A90" s="1"/>
    </row>
    <row r="91" spans="1:1" s="4" customFormat="1" x14ac:dyDescent="0.25">
      <c r="A91" s="1"/>
    </row>
    <row r="92" spans="1:1" s="4" customFormat="1" x14ac:dyDescent="0.25">
      <c r="A92" s="1"/>
    </row>
    <row r="93" spans="1:1" s="4" customFormat="1" x14ac:dyDescent="0.25">
      <c r="A93" s="1"/>
    </row>
    <row r="94" spans="1:1" s="4" customFormat="1" x14ac:dyDescent="0.25">
      <c r="A94" s="1"/>
    </row>
    <row r="95" spans="1:1" s="4" customFormat="1" x14ac:dyDescent="0.25">
      <c r="A95" s="1"/>
    </row>
    <row r="96" spans="1:1" s="4" customFormat="1" x14ac:dyDescent="0.25">
      <c r="A96" s="1"/>
    </row>
    <row r="97" spans="1:1" s="4" customFormat="1" x14ac:dyDescent="0.25">
      <c r="A97" s="1"/>
    </row>
    <row r="98" spans="1:1" s="4" customFormat="1" x14ac:dyDescent="0.25">
      <c r="A98" s="1"/>
    </row>
    <row r="99" spans="1:1" s="4" customFormat="1" x14ac:dyDescent="0.25">
      <c r="A99" s="1"/>
    </row>
  </sheetData>
  <hyperlinks>
    <hyperlink ref="B61" r:id="rId1" display="#=@qlInflationTermStructureSetSeasonality(B35;D32;B35)" xr:uid="{3DDD25F0-C4E0-4C2B-B23B-21ACFFCD8DCB}"/>
  </hyperlinks>
  <pageMargins left="0.7" right="0.7" top="0.78740157499999996" bottom="0.78740157499999996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03B7-4015-48EC-B07E-445D36A5C147}">
  <dimension ref="A1:F8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11.5703125" defaultRowHeight="15" x14ac:dyDescent="0.25"/>
  <cols>
    <col min="1" max="1" width="57.85546875" customWidth="1"/>
    <col min="2" max="2" width="76" style="4" customWidth="1"/>
    <col min="3" max="3" width="6.42578125" style="4" customWidth="1"/>
    <col min="4" max="4" width="75.28515625" style="4" customWidth="1"/>
    <col min="5" max="6" width="11.5703125" style="4"/>
  </cols>
  <sheetData>
    <row r="1" spans="1:5" x14ac:dyDescent="0.25">
      <c r="A1" t="s">
        <v>2</v>
      </c>
      <c r="B1" s="2">
        <v>45292</v>
      </c>
      <c r="C1" s="2"/>
    </row>
    <row r="2" spans="1:5" x14ac:dyDescent="0.25">
      <c r="A2" t="s">
        <v>3</v>
      </c>
      <c r="B2" s="2">
        <f>_xll.qlSettingsSetEvaluationDate(B1)</f>
        <v>45292</v>
      </c>
      <c r="C2" s="2"/>
    </row>
    <row r="4" spans="1:5" x14ac:dyDescent="0.25">
      <c r="A4" s="49" t="s">
        <v>30</v>
      </c>
      <c r="B4" s="66">
        <v>45292</v>
      </c>
      <c r="C4" s="66"/>
      <c r="D4" s="66">
        <v>45292</v>
      </c>
      <c r="E4" s="109"/>
    </row>
    <row r="5" spans="1:5" s="4" customFormat="1" x14ac:dyDescent="0.25">
      <c r="A5" s="49" t="s">
        <v>18</v>
      </c>
      <c r="B5" s="66">
        <v>45292</v>
      </c>
      <c r="C5" s="66"/>
      <c r="D5" s="66">
        <v>45292</v>
      </c>
      <c r="E5" s="109"/>
    </row>
    <row r="6" spans="1:5" s="4" customFormat="1" x14ac:dyDescent="0.25">
      <c r="A6" s="54" t="s">
        <v>18</v>
      </c>
      <c r="B6" s="52">
        <v>45658</v>
      </c>
      <c r="C6" s="52"/>
      <c r="D6" s="52">
        <v>45658</v>
      </c>
      <c r="E6" s="57"/>
    </row>
    <row r="7" spans="1:5" s="4" customFormat="1" x14ac:dyDescent="0.25">
      <c r="A7" s="126" t="s">
        <v>18</v>
      </c>
      <c r="B7" s="68">
        <v>46023</v>
      </c>
      <c r="C7" s="68"/>
      <c r="D7" s="68">
        <v>46023</v>
      </c>
      <c r="E7" s="48"/>
    </row>
    <row r="8" spans="1:5" s="4" customFormat="1" x14ac:dyDescent="0.25">
      <c r="A8" s="127" t="s">
        <v>19</v>
      </c>
      <c r="B8" s="86">
        <v>0.01</v>
      </c>
      <c r="C8" s="86"/>
      <c r="D8" s="86">
        <v>0.01</v>
      </c>
      <c r="E8" s="109"/>
    </row>
    <row r="9" spans="1:5" s="4" customFormat="1" x14ac:dyDescent="0.25">
      <c r="A9" s="67" t="s">
        <v>19</v>
      </c>
      <c r="B9" s="53">
        <v>0.02</v>
      </c>
      <c r="C9" s="53"/>
      <c r="D9" s="53">
        <v>0.02</v>
      </c>
      <c r="E9" s="57"/>
    </row>
    <row r="10" spans="1:5" s="4" customFormat="1" x14ac:dyDescent="0.25">
      <c r="A10" s="123" t="s">
        <v>19</v>
      </c>
      <c r="B10" s="91">
        <v>0.03</v>
      </c>
      <c r="C10" s="91"/>
      <c r="D10" s="91">
        <v>0.03</v>
      </c>
      <c r="E10" s="48"/>
    </row>
    <row r="11" spans="1:5" s="4" customFormat="1" x14ac:dyDescent="0.25">
      <c r="A11" s="67" t="s">
        <v>12</v>
      </c>
      <c r="B11" s="53" t="s">
        <v>16</v>
      </c>
      <c r="C11" s="53"/>
      <c r="D11" s="53" t="s">
        <v>16</v>
      </c>
      <c r="E11" s="57"/>
    </row>
    <row r="12" spans="1:5" s="4" customFormat="1" x14ac:dyDescent="0.25">
      <c r="A12" s="67" t="s">
        <v>31</v>
      </c>
      <c r="B12" s="53" t="s">
        <v>52</v>
      </c>
      <c r="C12" s="53"/>
      <c r="D12" s="53" t="s">
        <v>52</v>
      </c>
      <c r="E12" s="57"/>
    </row>
    <row r="13" spans="1:5" s="4" customFormat="1" x14ac:dyDescent="0.25">
      <c r="A13" s="121" t="s">
        <v>50</v>
      </c>
      <c r="B13" s="66"/>
      <c r="C13" s="66"/>
      <c r="D13" s="66">
        <v>45292</v>
      </c>
      <c r="E13" s="109"/>
    </row>
    <row r="14" spans="1:5" s="4" customFormat="1" x14ac:dyDescent="0.25">
      <c r="A14" s="122" t="s">
        <v>12</v>
      </c>
      <c r="B14" s="53"/>
      <c r="C14" s="53"/>
      <c r="D14" s="53" t="s">
        <v>13</v>
      </c>
      <c r="E14" s="57"/>
    </row>
    <row r="15" spans="1:5" s="4" customFormat="1" x14ac:dyDescent="0.25">
      <c r="A15" s="122" t="s">
        <v>51</v>
      </c>
      <c r="B15" s="53"/>
      <c r="C15" s="53"/>
      <c r="D15" s="53">
        <v>1</v>
      </c>
      <c r="E15" s="57"/>
    </row>
    <row r="16" spans="1:5" s="4" customFormat="1" x14ac:dyDescent="0.25">
      <c r="A16" s="122" t="s">
        <v>51</v>
      </c>
      <c r="B16" s="53"/>
      <c r="C16" s="53"/>
      <c r="D16" s="53">
        <v>1.02</v>
      </c>
      <c r="E16" s="57"/>
    </row>
    <row r="17" spans="1:5" s="4" customFormat="1" x14ac:dyDescent="0.25">
      <c r="A17" s="122" t="s">
        <v>51</v>
      </c>
      <c r="B17" s="53"/>
      <c r="C17" s="53"/>
      <c r="D17" s="53">
        <v>1.01</v>
      </c>
      <c r="E17" s="57"/>
    </row>
    <row r="18" spans="1:5" s="4" customFormat="1" x14ac:dyDescent="0.25">
      <c r="A18" s="122" t="s">
        <v>51</v>
      </c>
      <c r="B18" s="53"/>
      <c r="C18" s="53"/>
      <c r="D18" s="53">
        <v>1.03</v>
      </c>
      <c r="E18" s="57"/>
    </row>
    <row r="19" spans="1:5" s="4" customFormat="1" x14ac:dyDescent="0.25">
      <c r="A19" s="123" t="s">
        <v>32</v>
      </c>
      <c r="B19" s="91"/>
      <c r="C19" s="91"/>
      <c r="D19" s="91" t="str">
        <f>_xll.qlMultiplicativePriceSeasonality(D13,D14,D15:D18,B2)</f>
        <v>欣[test_inflation.xlsx]YoYInflationCurve!R19C4MultiplicativePriceSeasonality,A</v>
      </c>
      <c r="E19" s="48"/>
    </row>
    <row r="20" spans="1:5" s="4" customFormat="1" x14ac:dyDescent="0.25">
      <c r="A20" s="124" t="s">
        <v>23</v>
      </c>
      <c r="B20" s="25" t="str">
        <f>_xll.qlYoYInflationCurve(B4,B5:B7,B8:B10,B11,B12,,B2)</f>
        <v>欣[test_inflation.xlsx]YoYInflationCurve!R20C2YoYInflationTermStructureHandle,A</v>
      </c>
      <c r="C20" s="25"/>
      <c r="D20" s="25" t="str">
        <f>_xll.qlYoYInflationCurve(D4,D5:D7,D8:D10,D11,D12,D19,D19)</f>
        <v>欣[test_inflation.xlsx]YoYInflationCurve!R20C4YoYInflationTermStructureHandle,A</v>
      </c>
      <c r="E20" s="48"/>
    </row>
    <row r="21" spans="1:5" s="4" customFormat="1" x14ac:dyDescent="0.25">
      <c r="A21" s="125" t="s">
        <v>58</v>
      </c>
      <c r="B21" s="74" t="str">
        <f>_xll.qlYoYInflationCurveAsIts(B4,B5:B7,B8:B10,B11,B12,,B2)</f>
        <v>欣[test_inflation.xlsx]YoYInflationCurve!R21C2YoYInflationCurve,A</v>
      </c>
      <c r="C21" s="74"/>
      <c r="D21" s="128" t="str">
        <f>_xll.qlYoYInflationCurveAsIts(D4,D5:D7,D8:D10,D11,D12,D19,D19)</f>
        <v>欣[test_inflation.xlsx]YoYInflationCurve!R21C4YoYInflationCurve,A</v>
      </c>
      <c r="E21" s="75"/>
    </row>
    <row r="22" spans="1:5" s="4" customFormat="1" x14ac:dyDescent="0.25">
      <c r="A22" s="234" t="s">
        <v>59</v>
      </c>
      <c r="B22" s="66">
        <f>_xll.qlYoYInflationCurveDates(B21,B21)</f>
        <v>45292</v>
      </c>
      <c r="C22" s="66"/>
      <c r="D22" s="66">
        <f>_xll.qlYoYInflationCurveDates(D21,D21)</f>
        <v>45292</v>
      </c>
      <c r="E22" s="109"/>
    </row>
    <row r="23" spans="1:5" s="4" customFormat="1" x14ac:dyDescent="0.25">
      <c r="A23" s="95"/>
      <c r="B23" s="238" t="s">
        <v>459</v>
      </c>
      <c r="C23" s="52"/>
      <c r="D23" s="238" t="s">
        <v>459</v>
      </c>
      <c r="E23" s="57"/>
    </row>
    <row r="24" spans="1:5" s="4" customFormat="1" x14ac:dyDescent="0.25">
      <c r="A24" s="234" t="s">
        <v>60</v>
      </c>
      <c r="B24" s="86">
        <f>_xll.qlYoYInflationCurveTimes(B21,B21)</f>
        <v>0</v>
      </c>
      <c r="C24" s="19"/>
      <c r="D24" s="86">
        <f>_xll.qlYoYInflationCurveTimes(D21,D21)</f>
        <v>0</v>
      </c>
      <c r="E24" s="109"/>
    </row>
    <row r="25" spans="1:5" s="4" customFormat="1" x14ac:dyDescent="0.25">
      <c r="A25" s="95"/>
      <c r="B25" s="238" t="s">
        <v>460</v>
      </c>
      <c r="C25" s="22"/>
      <c r="D25" s="238" t="s">
        <v>460</v>
      </c>
      <c r="E25" s="57"/>
    </row>
    <row r="26" spans="1:5" s="4" customFormat="1" x14ac:dyDescent="0.25">
      <c r="A26" s="240" t="s">
        <v>61</v>
      </c>
      <c r="B26" s="66">
        <f>_xll.qlYoYInflationCurveData(B21,B21)</f>
        <v>0.01</v>
      </c>
      <c r="C26" s="19"/>
      <c r="D26" s="66">
        <f>_xll.qlYoYInflationCurveData(D21,D21)</f>
        <v>0.01</v>
      </c>
      <c r="E26" s="109"/>
    </row>
    <row r="27" spans="1:5" s="4" customFormat="1" x14ac:dyDescent="0.25">
      <c r="A27" s="241"/>
      <c r="B27" s="238" t="s">
        <v>461</v>
      </c>
      <c r="C27" s="22"/>
      <c r="D27" s="238" t="s">
        <v>461</v>
      </c>
      <c r="E27" s="57"/>
    </row>
    <row r="28" spans="1:5" s="4" customFormat="1" x14ac:dyDescent="0.25">
      <c r="A28" s="242" t="s">
        <v>62</v>
      </c>
      <c r="B28" s="86">
        <f>_xll.qlYoYInflationCurveRates(B21,B21)</f>
        <v>0.01</v>
      </c>
      <c r="C28" s="19"/>
      <c r="D28" s="86">
        <f>_xll.qlYoYInflationCurveRates(D21,D21)</f>
        <v>0.01</v>
      </c>
      <c r="E28" s="109"/>
    </row>
    <row r="29" spans="1:5" s="4" customFormat="1" x14ac:dyDescent="0.25">
      <c r="A29" s="108"/>
      <c r="B29" s="238" t="s">
        <v>462</v>
      </c>
      <c r="C29" s="22"/>
      <c r="D29" s="238" t="s">
        <v>462</v>
      </c>
      <c r="E29" s="57"/>
    </row>
    <row r="30" spans="1:5" s="4" customFormat="1" x14ac:dyDescent="0.25">
      <c r="A30" s="242" t="s">
        <v>63</v>
      </c>
      <c r="B30" s="66">
        <f>_xll.qlYoYInflationCurveNodes(B21,B21)</f>
        <v>45292</v>
      </c>
      <c r="C30" s="66"/>
      <c r="D30" s="66">
        <f>_xll.qlYoYInflationCurveNodes(D21,D21)</f>
        <v>45292</v>
      </c>
      <c r="E30" s="109"/>
    </row>
    <row r="31" spans="1:5" s="4" customFormat="1" x14ac:dyDescent="0.25">
      <c r="A31" s="108"/>
      <c r="B31" s="238" t="s">
        <v>463</v>
      </c>
      <c r="C31" s="53"/>
      <c r="D31" s="238" t="s">
        <v>463</v>
      </c>
      <c r="E31" s="57"/>
    </row>
    <row r="32" spans="1:5" s="4" customFormat="1" x14ac:dyDescent="0.25">
      <c r="A32" s="85" t="s">
        <v>14</v>
      </c>
      <c r="B32" s="66">
        <v>45809</v>
      </c>
      <c r="C32" s="86"/>
      <c r="D32" s="66">
        <v>45809</v>
      </c>
      <c r="E32" s="109"/>
    </row>
    <row r="33" spans="1:5" s="4" customFormat="1" x14ac:dyDescent="0.25">
      <c r="A33" s="88" t="s">
        <v>53</v>
      </c>
      <c r="B33" s="52"/>
      <c r="C33" s="53"/>
      <c r="D33" s="52" t="b">
        <v>1</v>
      </c>
      <c r="E33" s="57"/>
    </row>
    <row r="34" spans="1:5" s="4" customFormat="1" x14ac:dyDescent="0.25">
      <c r="A34" s="124" t="s">
        <v>64</v>
      </c>
      <c r="B34" s="91">
        <f>_xll.qlYoYInflationTermStructureYoYRate(B20,B32,,B20)</f>
        <v>0.02</v>
      </c>
      <c r="C34" s="68"/>
      <c r="D34" s="91">
        <f>_xll.qlYoYInflationTermStructureYoYRate(D20,D32,D33,D20)</f>
        <v>2.0000000000000018E-2</v>
      </c>
      <c r="E34" s="48"/>
    </row>
    <row r="35" spans="1:5" s="4" customFormat="1" x14ac:dyDescent="0.25">
      <c r="A35" s="85" t="s">
        <v>14</v>
      </c>
      <c r="B35" s="66">
        <v>45809</v>
      </c>
      <c r="C35" s="66"/>
      <c r="D35" s="66">
        <v>45809</v>
      </c>
      <c r="E35" s="109"/>
    </row>
    <row r="36" spans="1:5" s="4" customFormat="1" x14ac:dyDescent="0.25">
      <c r="A36" s="88" t="s">
        <v>54</v>
      </c>
      <c r="B36" s="53" t="s">
        <v>56</v>
      </c>
      <c r="C36" s="52"/>
      <c r="D36" s="53" t="s">
        <v>56</v>
      </c>
      <c r="E36" s="57"/>
    </row>
    <row r="37" spans="1:5" s="4" customFormat="1" x14ac:dyDescent="0.25">
      <c r="A37" s="88" t="s">
        <v>55</v>
      </c>
      <c r="B37" s="53"/>
      <c r="C37" s="52"/>
      <c r="D37" s="53" t="b">
        <v>1</v>
      </c>
      <c r="E37" s="57"/>
    </row>
    <row r="38" spans="1:5" s="4" customFormat="1" x14ac:dyDescent="0.25">
      <c r="A38" s="88" t="s">
        <v>53</v>
      </c>
      <c r="B38" s="53"/>
      <c r="C38" s="52"/>
      <c r="D38" s="53" t="b">
        <v>1</v>
      </c>
      <c r="E38" s="57"/>
    </row>
    <row r="39" spans="1:5" s="4" customFormat="1" x14ac:dyDescent="0.25">
      <c r="A39" s="124" t="s">
        <v>65</v>
      </c>
      <c r="B39" s="91">
        <f>_xll.qlYoYInflationTermStructureYoYRate2(B20,B35,B36,,,B20)</f>
        <v>0.02</v>
      </c>
      <c r="C39" s="68"/>
      <c r="D39" s="91">
        <f>_xll.qlYoYInflationTermStructureYoYRate2(D20,D35,D36,D37,D38,D20)</f>
        <v>2.2465753424657509E-2</v>
      </c>
      <c r="E39" s="48"/>
    </row>
    <row r="40" spans="1:5" s="4" customFormat="1" x14ac:dyDescent="0.25">
      <c r="A40" s="85" t="s">
        <v>57</v>
      </c>
      <c r="B40" s="86">
        <v>1.5</v>
      </c>
      <c r="C40" s="66"/>
      <c r="D40" s="86">
        <v>1.5</v>
      </c>
      <c r="E40" s="109"/>
    </row>
    <row r="41" spans="1:5" s="4" customFormat="1" x14ac:dyDescent="0.25">
      <c r="A41" s="88" t="s">
        <v>53</v>
      </c>
      <c r="B41" s="53"/>
      <c r="C41" s="52"/>
      <c r="D41" s="53" t="b">
        <v>1</v>
      </c>
      <c r="E41" s="57"/>
    </row>
    <row r="42" spans="1:5" s="4" customFormat="1" x14ac:dyDescent="0.25">
      <c r="A42" s="124" t="s">
        <v>66</v>
      </c>
      <c r="B42" s="91">
        <f>_xll.qlYoYInflationTermStructureYoYRate3(B20,B40,,B20)</f>
        <v>2.4972602739726027E-2</v>
      </c>
      <c r="C42" s="68"/>
      <c r="D42" s="91">
        <f>_xll.qlYoYInflationTermStructureYoYRate3(D20,D40,D41,D20)</f>
        <v>2.4972602739726027E-2</v>
      </c>
      <c r="E42" s="48"/>
    </row>
    <row r="43" spans="1:5" s="4" customFormat="1" x14ac:dyDescent="0.25">
      <c r="A43" s="143" t="s">
        <v>39</v>
      </c>
      <c r="B43" s="86" t="str">
        <f>_xll.qlInflationTermStructureObservationLag(B21,B21)</f>
        <v>0D</v>
      </c>
      <c r="C43" s="86"/>
      <c r="D43" s="86" t="str">
        <f>_xll.qlInflationTermStructureObservationLag(D21,D21)</f>
        <v>0D</v>
      </c>
      <c r="E43" s="109"/>
    </row>
    <row r="44" spans="1:5" s="4" customFormat="1" x14ac:dyDescent="0.25">
      <c r="A44" s="135" t="s">
        <v>40</v>
      </c>
      <c r="B44" s="141" t="str">
        <f>_xll.qlInflationTermStructureFrequency(B21,B21)</f>
        <v>ANNUAL</v>
      </c>
      <c r="C44" s="142"/>
      <c r="D44" s="141" t="str">
        <f>_xll.qlInflationTermStructureFrequency(D21,D21)</f>
        <v>ANNUAL</v>
      </c>
      <c r="E44" s="75"/>
    </row>
    <row r="45" spans="1:5" s="4" customFormat="1" x14ac:dyDescent="0.25">
      <c r="A45" s="108" t="s">
        <v>41</v>
      </c>
      <c r="B45" s="53">
        <f>_xll.qlInflationTermStructureBaseRate(B21,B21)</f>
        <v>0.01</v>
      </c>
      <c r="C45" s="53"/>
      <c r="D45" s="53">
        <f>_xll.qlInflationTermStructureBaseRate(D21,D21)</f>
        <v>0.01</v>
      </c>
      <c r="E45" s="57"/>
    </row>
    <row r="46" spans="1:5" s="4" customFormat="1" x14ac:dyDescent="0.25">
      <c r="A46" s="137" t="s">
        <v>42</v>
      </c>
      <c r="B46" s="128">
        <f>_xll.qlInflationTermStructureBaseDate(B21,B21)</f>
        <v>45292</v>
      </c>
      <c r="C46" s="128"/>
      <c r="D46" s="128">
        <f>_xll.qlInflationTermStructureBaseDate(D21,D21)</f>
        <v>45292</v>
      </c>
      <c r="E46" s="75"/>
    </row>
    <row r="47" spans="1:5" s="4" customFormat="1" x14ac:dyDescent="0.25">
      <c r="A47" s="108" t="s">
        <v>43</v>
      </c>
      <c r="B47" s="52" t="b">
        <f>_xll.qlInflationTermStructureHasExplicitBaseDate(B21,B21)</f>
        <v>1</v>
      </c>
      <c r="C47" s="52"/>
      <c r="D47" s="52" t="b">
        <f>_xll.qlInflationTermStructureHasExplicitBaseDate(D21,D21)</f>
        <v>1</v>
      </c>
      <c r="E47" s="57"/>
    </row>
    <row r="48" spans="1:5" s="4" customFormat="1" x14ac:dyDescent="0.25">
      <c r="A48" s="137" t="s">
        <v>45</v>
      </c>
      <c r="B48" s="74" t="b">
        <f>ISERROR(_xll.qlInflationTermStructureSeasonality(B21,B21))</f>
        <v>1</v>
      </c>
      <c r="C48" s="74"/>
      <c r="D48" s="74" t="str">
        <f>_xll.qlInflationTermStructureSeasonality(D21,D21)</f>
        <v>欣[test_inflation.xlsx]YoYInflationCurve!R48C4Seasonality,A</v>
      </c>
      <c r="E48" s="75"/>
    </row>
    <row r="49" spans="1:5" s="4" customFormat="1" x14ac:dyDescent="0.25">
      <c r="A49" s="95" t="s">
        <v>46</v>
      </c>
      <c r="B49" s="52" t="b">
        <f>_xll.qlInflationTermStructureHasSeasonality(B21,B21)</f>
        <v>0</v>
      </c>
      <c r="C49" s="52"/>
      <c r="D49" s="52" t="b">
        <f>_xll.qlInflationTermStructureHasSeasonality(D21,D21)</f>
        <v>1</v>
      </c>
      <c r="E49" s="57"/>
    </row>
    <row r="50" spans="1:5" s="4" customFormat="1" x14ac:dyDescent="0.25">
      <c r="A50" s="73" t="s">
        <v>44</v>
      </c>
      <c r="B50" s="261" t="b">
        <f>_xll.qlInflationTermStructureSetSeasonality(B21,D19,B21)</f>
        <v>1</v>
      </c>
      <c r="C50" s="74"/>
      <c r="D50" s="74"/>
      <c r="E50" s="75"/>
    </row>
    <row r="51" spans="1:5" s="4" customFormat="1" x14ac:dyDescent="0.25">
      <c r="A51" s="124" t="s">
        <v>46</v>
      </c>
      <c r="B51" s="68" t="b">
        <f>_xll.qlInflationTermStructureHasSeasonality(B21,B50)</f>
        <v>1</v>
      </c>
      <c r="C51" s="25"/>
      <c r="D51" s="68"/>
      <c r="E51" s="48"/>
    </row>
    <row r="52" spans="1:5" s="4" customFormat="1" x14ac:dyDescent="0.25">
      <c r="A52" s="1"/>
    </row>
    <row r="53" spans="1:5" s="4" customFormat="1" x14ac:dyDescent="0.25">
      <c r="A53" s="1"/>
    </row>
    <row r="54" spans="1:5" s="4" customFormat="1" x14ac:dyDescent="0.25">
      <c r="A54" s="6"/>
    </row>
    <row r="55" spans="1:5" s="4" customFormat="1" x14ac:dyDescent="0.25">
      <c r="A55" s="1"/>
    </row>
    <row r="56" spans="1:5" s="4" customFormat="1" x14ac:dyDescent="0.25">
      <c r="A56" s="1"/>
    </row>
    <row r="57" spans="1:5" s="4" customFormat="1" x14ac:dyDescent="0.25">
      <c r="A57" s="1"/>
    </row>
    <row r="58" spans="1:5" s="4" customFormat="1" x14ac:dyDescent="0.25">
      <c r="A58" s="1"/>
    </row>
    <row r="59" spans="1:5" s="4" customFormat="1" x14ac:dyDescent="0.25">
      <c r="A59" s="12"/>
      <c r="B59" s="2"/>
      <c r="C59" s="2"/>
    </row>
    <row r="60" spans="1:5" s="4" customFormat="1" x14ac:dyDescent="0.25">
      <c r="A60" s="12"/>
      <c r="B60" s="2"/>
      <c r="C60" s="2"/>
    </row>
    <row r="61" spans="1:5" s="4" customFormat="1" x14ac:dyDescent="0.25">
      <c r="A61" s="12"/>
    </row>
    <row r="62" spans="1:5" s="4" customFormat="1" x14ac:dyDescent="0.25">
      <c r="A62" s="12"/>
    </row>
    <row r="63" spans="1:5" s="4" customFormat="1" x14ac:dyDescent="0.25">
      <c r="A63" s="7"/>
      <c r="B63" s="11"/>
      <c r="C63" s="11"/>
    </row>
    <row r="64" spans="1:5" s="4" customFormat="1" x14ac:dyDescent="0.25">
      <c r="A64" s="9"/>
    </row>
    <row r="65" spans="1:1" s="4" customFormat="1" x14ac:dyDescent="0.25">
      <c r="A65" s="1"/>
    </row>
    <row r="66" spans="1:1" s="4" customFormat="1" x14ac:dyDescent="0.25">
      <c r="A66" s="1"/>
    </row>
    <row r="67" spans="1:1" s="4" customFormat="1" x14ac:dyDescent="0.25">
      <c r="A67" s="1"/>
    </row>
    <row r="68" spans="1:1" s="4" customFormat="1" x14ac:dyDescent="0.25">
      <c r="A68" s="1"/>
    </row>
    <row r="69" spans="1:1" s="4" customFormat="1" x14ac:dyDescent="0.25">
      <c r="A69" s="1"/>
    </row>
    <row r="70" spans="1:1" s="4" customFormat="1" x14ac:dyDescent="0.25">
      <c r="A70" s="1"/>
    </row>
    <row r="71" spans="1:1" s="4" customFormat="1" x14ac:dyDescent="0.25">
      <c r="A71" s="1"/>
    </row>
    <row r="72" spans="1:1" s="4" customFormat="1" x14ac:dyDescent="0.25">
      <c r="A72" s="1"/>
    </row>
    <row r="73" spans="1:1" s="4" customFormat="1" x14ac:dyDescent="0.25">
      <c r="A73" s="1"/>
    </row>
    <row r="74" spans="1:1" s="4" customFormat="1" x14ac:dyDescent="0.25">
      <c r="A74" s="1"/>
    </row>
    <row r="75" spans="1:1" s="4" customFormat="1" x14ac:dyDescent="0.25">
      <c r="A75" s="1"/>
    </row>
    <row r="76" spans="1:1" s="4" customFormat="1" x14ac:dyDescent="0.25">
      <c r="A76" s="1"/>
    </row>
    <row r="77" spans="1:1" s="4" customFormat="1" x14ac:dyDescent="0.25">
      <c r="A77" s="1"/>
    </row>
    <row r="78" spans="1:1" s="4" customFormat="1" x14ac:dyDescent="0.25">
      <c r="A78" s="1"/>
    </row>
    <row r="79" spans="1:1" s="4" customFormat="1" x14ac:dyDescent="0.25">
      <c r="A79" s="1"/>
    </row>
    <row r="80" spans="1:1" s="4" customFormat="1" x14ac:dyDescent="0.25">
      <c r="A80" s="1"/>
    </row>
    <row r="81" spans="1:1" s="4" customFormat="1" x14ac:dyDescent="0.25">
      <c r="A81" s="1"/>
    </row>
    <row r="82" spans="1:1" s="4" customFormat="1" x14ac:dyDescent="0.25">
      <c r="A82" s="1"/>
    </row>
    <row r="83" spans="1:1" s="4" customFormat="1" x14ac:dyDescent="0.25">
      <c r="A83" s="1"/>
    </row>
    <row r="84" spans="1:1" s="4" customFormat="1" x14ac:dyDescent="0.25">
      <c r="A84" s="1"/>
    </row>
    <row r="85" spans="1:1" s="4" customFormat="1" x14ac:dyDescent="0.25">
      <c r="A85" s="1"/>
    </row>
    <row r="86" spans="1:1" s="4" customFormat="1" x14ac:dyDescent="0.25">
      <c r="A86" s="1"/>
    </row>
    <row r="87" spans="1:1" s="4" customFormat="1" x14ac:dyDescent="0.25">
      <c r="A87" s="1"/>
    </row>
    <row r="88" spans="1:1" s="4" customFormat="1" x14ac:dyDescent="0.25">
      <c r="A88" s="1"/>
    </row>
  </sheetData>
  <pageMargins left="0.7" right="0.7" top="0.78740157499999996" bottom="0.78740157499999996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3122D-10E3-401C-A84B-8C29CE967579}">
  <dimension ref="A1:F10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11.5703125" defaultRowHeight="15" x14ac:dyDescent="0.25"/>
  <cols>
    <col min="1" max="1" width="57.85546875" customWidth="1"/>
    <col min="2" max="2" width="94.5703125" style="4" customWidth="1"/>
    <col min="3" max="3" width="11.42578125" style="4" customWidth="1"/>
    <col min="4" max="4" width="75.28515625" style="4" customWidth="1"/>
    <col min="5" max="6" width="11.5703125" style="4"/>
  </cols>
  <sheetData>
    <row r="1" spans="1:5" x14ac:dyDescent="0.25">
      <c r="A1" t="s">
        <v>2</v>
      </c>
      <c r="B1" s="2">
        <v>45293</v>
      </c>
      <c r="C1" s="2"/>
      <c r="D1" s="8"/>
    </row>
    <row r="2" spans="1:5" x14ac:dyDescent="0.25">
      <c r="A2" t="s">
        <v>3</v>
      </c>
      <c r="B2" s="2">
        <f>_xll.qlSettingsSetEvaluationDate(B1)</f>
        <v>45293</v>
      </c>
      <c r="C2" s="2"/>
    </row>
    <row r="3" spans="1:5" x14ac:dyDescent="0.25">
      <c r="B3" s="2"/>
    </row>
    <row r="4" spans="1:5" x14ac:dyDescent="0.25">
      <c r="A4" s="49" t="s">
        <v>30</v>
      </c>
      <c r="B4" s="66">
        <v>45292</v>
      </c>
      <c r="C4" s="66"/>
      <c r="D4" s="66">
        <v>45292</v>
      </c>
      <c r="E4" s="109"/>
    </row>
    <row r="5" spans="1:5" s="4" customFormat="1" x14ac:dyDescent="0.25">
      <c r="A5" s="54" t="s">
        <v>50</v>
      </c>
      <c r="B5" s="52">
        <v>44927</v>
      </c>
      <c r="C5" s="52"/>
      <c r="D5" s="52">
        <v>44927</v>
      </c>
      <c r="E5" s="57"/>
    </row>
    <row r="6" spans="1:5" s="4" customFormat="1" x14ac:dyDescent="0.25">
      <c r="A6" s="54" t="s">
        <v>85</v>
      </c>
      <c r="B6" s="53">
        <v>2.5000000000000001E-2</v>
      </c>
      <c r="C6" s="52"/>
      <c r="D6" s="53">
        <v>2.5000000000000001E-2</v>
      </c>
      <c r="E6" s="57"/>
    </row>
    <row r="7" spans="1:5" s="4" customFormat="1" x14ac:dyDescent="0.25">
      <c r="A7" s="54" t="s">
        <v>12</v>
      </c>
      <c r="B7" s="52" t="s">
        <v>81</v>
      </c>
      <c r="C7" s="52"/>
      <c r="D7" s="52" t="s">
        <v>81</v>
      </c>
      <c r="E7" s="57"/>
    </row>
    <row r="8" spans="1:5" s="4" customFormat="1" x14ac:dyDescent="0.25">
      <c r="A8" s="54" t="s">
        <v>31</v>
      </c>
      <c r="B8" s="52" t="s">
        <v>52</v>
      </c>
      <c r="C8" s="52"/>
      <c r="D8" s="52" t="s">
        <v>52</v>
      </c>
      <c r="E8" s="57"/>
    </row>
    <row r="9" spans="1:5" s="4" customFormat="1" x14ac:dyDescent="0.25">
      <c r="A9" s="85" t="s">
        <v>72</v>
      </c>
      <c r="B9" s="86">
        <v>0.02</v>
      </c>
      <c r="C9" s="66"/>
      <c r="D9" s="86">
        <v>0.02</v>
      </c>
      <c r="E9" s="109"/>
    </row>
    <row r="10" spans="1:5" s="4" customFormat="1" x14ac:dyDescent="0.25">
      <c r="A10" s="88" t="s">
        <v>73</v>
      </c>
      <c r="B10" s="52" t="s">
        <v>17</v>
      </c>
      <c r="C10" s="52"/>
      <c r="D10" s="52" t="s">
        <v>17</v>
      </c>
      <c r="E10" s="57"/>
    </row>
    <row r="11" spans="1:5" s="4" customFormat="1" x14ac:dyDescent="0.25">
      <c r="A11" s="88" t="s">
        <v>74</v>
      </c>
      <c r="B11" s="52">
        <v>46753</v>
      </c>
      <c r="C11" s="52"/>
      <c r="D11" s="52">
        <v>46753</v>
      </c>
      <c r="E11" s="57"/>
    </row>
    <row r="12" spans="1:5" s="4" customFormat="1" x14ac:dyDescent="0.25">
      <c r="A12" s="88" t="s">
        <v>75</v>
      </c>
      <c r="B12" s="52" t="s">
        <v>78</v>
      </c>
      <c r="C12" s="52"/>
      <c r="D12" s="52" t="s">
        <v>78</v>
      </c>
      <c r="E12" s="57"/>
    </row>
    <row r="13" spans="1:5" s="4" customFormat="1" x14ac:dyDescent="0.25">
      <c r="A13" s="88" t="s">
        <v>76</v>
      </c>
      <c r="B13" s="52" t="s">
        <v>79</v>
      </c>
      <c r="C13" s="52"/>
      <c r="D13" s="52" t="s">
        <v>79</v>
      </c>
      <c r="E13" s="57"/>
    </row>
    <row r="14" spans="1:5" s="4" customFormat="1" x14ac:dyDescent="0.25">
      <c r="A14" s="88" t="s">
        <v>31</v>
      </c>
      <c r="B14" s="52" t="s">
        <v>52</v>
      </c>
      <c r="C14" s="52"/>
      <c r="D14" s="52" t="s">
        <v>52</v>
      </c>
      <c r="E14" s="57"/>
    </row>
    <row r="15" spans="1:5" s="4" customFormat="1" x14ac:dyDescent="0.25">
      <c r="A15" s="64" t="s">
        <v>18</v>
      </c>
      <c r="B15" s="66">
        <v>45292</v>
      </c>
      <c r="C15" s="66"/>
      <c r="D15" s="66">
        <v>45292</v>
      </c>
      <c r="E15" s="109"/>
    </row>
    <row r="16" spans="1:5" s="4" customFormat="1" x14ac:dyDescent="0.25">
      <c r="A16" s="65" t="s">
        <v>18</v>
      </c>
      <c r="B16" s="52">
        <v>45658</v>
      </c>
      <c r="C16" s="52"/>
      <c r="D16" s="52">
        <v>45658</v>
      </c>
      <c r="E16" s="57"/>
    </row>
    <row r="17" spans="1:5" s="4" customFormat="1" x14ac:dyDescent="0.25">
      <c r="A17" s="65" t="s">
        <v>19</v>
      </c>
      <c r="B17" s="22">
        <v>0.01</v>
      </c>
      <c r="C17" s="52"/>
      <c r="D17" s="22">
        <v>0.01</v>
      </c>
      <c r="E17" s="57"/>
    </row>
    <row r="18" spans="1:5" s="4" customFormat="1" x14ac:dyDescent="0.25">
      <c r="A18" s="65" t="s">
        <v>19</v>
      </c>
      <c r="B18" s="22">
        <v>0.02</v>
      </c>
      <c r="C18" s="52"/>
      <c r="D18" s="22">
        <v>0.02</v>
      </c>
      <c r="E18" s="57"/>
    </row>
    <row r="19" spans="1:5" s="4" customFormat="1" x14ac:dyDescent="0.25">
      <c r="A19" s="65" t="s">
        <v>15</v>
      </c>
      <c r="B19" s="90" t="str">
        <f>_xll.qlYoYInflationCurve(B2,B15:B16,B17:B18,"semiannual","act/360",,B2)</f>
        <v>欣[test_inflation.xlsx]YoYPiecewiseInflationCurve!R19C2YoYInflationTermStructureHandle,A</v>
      </c>
      <c r="C19" s="52"/>
      <c r="D19" s="90" t="str">
        <f>_xll.qlYoYInflationCurve(B2,D15:D16,D17:D18,"semiannual","act/360",,B2)</f>
        <v>欣[test_inflation.xlsx]YoYPiecewiseInflationCurve!R19C4YoYInflationTermStructureHandle,A</v>
      </c>
      <c r="E19" s="57"/>
    </row>
    <row r="20" spans="1:5" s="14" customFormat="1" x14ac:dyDescent="0.25">
      <c r="A20" s="96" t="s">
        <v>84</v>
      </c>
      <c r="B20" s="97" t="str">
        <f>_xll.qlYYEUHICP(B19,B19)</f>
        <v>欣[test_inflation.xlsx]YoYPiecewiseInflationCurve!R20C2YYEUHICP,A</v>
      </c>
      <c r="C20" s="80"/>
      <c r="D20" s="97" t="str">
        <f>_xll.qlYYEUHICP(D19,D19)</f>
        <v>欣[test_inflation.xlsx]YoYPiecewiseInflationCurve!R20C4YYEUHICP,A</v>
      </c>
      <c r="E20" s="144"/>
    </row>
    <row r="21" spans="1:5" s="4" customFormat="1" x14ac:dyDescent="0.25">
      <c r="A21" s="69" t="s">
        <v>14</v>
      </c>
      <c r="B21" s="66">
        <v>44927</v>
      </c>
      <c r="C21" s="66"/>
      <c r="D21" s="66">
        <v>44927</v>
      </c>
      <c r="E21" s="109"/>
    </row>
    <row r="22" spans="1:5" s="4" customFormat="1" x14ac:dyDescent="0.25">
      <c r="A22" s="70" t="s">
        <v>22</v>
      </c>
      <c r="B22" s="53">
        <v>102</v>
      </c>
      <c r="C22" s="52"/>
      <c r="D22" s="53">
        <v>102</v>
      </c>
      <c r="E22" s="57"/>
    </row>
    <row r="23" spans="1:5" s="4" customFormat="1" x14ac:dyDescent="0.25">
      <c r="A23" s="82" t="s">
        <v>21</v>
      </c>
      <c r="B23" s="84" t="b">
        <f>_xll.qlIndexAddFixing(B20,B21,B22)</f>
        <v>1</v>
      </c>
      <c r="C23" s="68"/>
      <c r="D23" s="84" t="b">
        <f>_xll.qlIndexAddFixing(D20,D21,D22)</f>
        <v>1</v>
      </c>
      <c r="E23" s="48"/>
    </row>
    <row r="24" spans="1:5" s="4" customFormat="1" x14ac:dyDescent="0.25">
      <c r="A24" s="88" t="s">
        <v>77</v>
      </c>
      <c r="B24" s="52" t="s">
        <v>80</v>
      </c>
      <c r="C24" s="52"/>
      <c r="D24" s="52" t="s">
        <v>80</v>
      </c>
      <c r="E24" s="57"/>
    </row>
    <row r="25" spans="1:5" s="4" customFormat="1" x14ac:dyDescent="0.25">
      <c r="A25" s="88" t="s">
        <v>83</v>
      </c>
      <c r="B25" s="52" t="str">
        <f>_xll.qlFlatForward(B2,0.03,"actual365fixed")</f>
        <v>欣[test_inflation.xlsx]YoYPiecewiseInflationCurve!R25C2YieldTermStructureHandle,A</v>
      </c>
      <c r="C25" s="52"/>
      <c r="D25" s="52" t="str">
        <f>_xll.qlFlatForward(B2,0.03,"actual365fixed")</f>
        <v>欣[test_inflation.xlsx]YoYPiecewiseInflationCurve!R25C4YieldTermStructureHandle,A</v>
      </c>
      <c r="E25" s="57"/>
    </row>
    <row r="26" spans="1:5" s="4" customFormat="1" x14ac:dyDescent="0.25">
      <c r="A26" s="123" t="s">
        <v>68</v>
      </c>
      <c r="B26" s="91" t="str">
        <f>_xll.qlYearOnYearInflationSwapHelper(B9,B10,B11,B12,B13,B14,B20,B24,B25,,,B20)</f>
        <v>欣[test_inflation.xlsx]YoYPiecewiseInflationCurve!R26C2YearOnYearInflationSwapHelper,A</v>
      </c>
      <c r="C26" s="91"/>
      <c r="D26" s="91" t="str">
        <f>_xll.qlYearOnYearInflationSwapHelper(D9,D10,D11,D12,D13,D14,D20,D24,D25,,,D20)</f>
        <v>欣[test_inflation.xlsx]YoYPiecewiseInflationCurve!R26C4YearOnYearInflationSwapHelper,A</v>
      </c>
      <c r="E26" s="48"/>
    </row>
    <row r="27" spans="1:5" s="4" customFormat="1" x14ac:dyDescent="0.25">
      <c r="A27" s="121" t="s">
        <v>50</v>
      </c>
      <c r="B27" s="86"/>
      <c r="C27" s="86"/>
      <c r="D27" s="66">
        <v>45292</v>
      </c>
      <c r="E27" s="109"/>
    </row>
    <row r="28" spans="1:5" s="4" customFormat="1" x14ac:dyDescent="0.25">
      <c r="A28" s="122" t="s">
        <v>12</v>
      </c>
      <c r="B28" s="53"/>
      <c r="C28" s="53"/>
      <c r="D28" s="53" t="s">
        <v>13</v>
      </c>
      <c r="E28" s="57"/>
    </row>
    <row r="29" spans="1:5" s="4" customFormat="1" x14ac:dyDescent="0.25">
      <c r="A29" s="122" t="s">
        <v>51</v>
      </c>
      <c r="B29" s="53"/>
      <c r="C29" s="53"/>
      <c r="D29" s="53">
        <v>1</v>
      </c>
      <c r="E29" s="57"/>
    </row>
    <row r="30" spans="1:5" s="4" customFormat="1" x14ac:dyDescent="0.25">
      <c r="A30" s="122" t="s">
        <v>51</v>
      </c>
      <c r="B30" s="53"/>
      <c r="C30" s="53"/>
      <c r="D30" s="53">
        <v>1.02</v>
      </c>
      <c r="E30" s="57"/>
    </row>
    <row r="31" spans="1:5" s="4" customFormat="1" x14ac:dyDescent="0.25">
      <c r="A31" s="122" t="s">
        <v>51</v>
      </c>
      <c r="B31" s="53"/>
      <c r="C31" s="53"/>
      <c r="D31" s="53">
        <v>1.01</v>
      </c>
      <c r="E31" s="57"/>
    </row>
    <row r="32" spans="1:5" s="4" customFormat="1" x14ac:dyDescent="0.25">
      <c r="A32" s="122" t="s">
        <v>51</v>
      </c>
      <c r="B32" s="53"/>
      <c r="C32" s="53"/>
      <c r="D32" s="53">
        <v>1.03</v>
      </c>
      <c r="E32" s="57"/>
    </row>
    <row r="33" spans="1:5" s="4" customFormat="1" x14ac:dyDescent="0.25">
      <c r="A33" s="123" t="s">
        <v>32</v>
      </c>
      <c r="B33" s="91"/>
      <c r="C33" s="91"/>
      <c r="D33" s="91" t="str">
        <f>_xll.qlMultiplicativePriceSeasonality(D27,D28,D29:D32,D26)</f>
        <v>欣[test_inflation.xlsx]YoYPiecewiseInflationCurve!R33C4MultiplicativePriceSeasonality,A</v>
      </c>
      <c r="E33" s="48"/>
    </row>
    <row r="34" spans="1:5" s="4" customFormat="1" x14ac:dyDescent="0.25">
      <c r="A34" s="67" t="s">
        <v>69</v>
      </c>
      <c r="B34" s="53"/>
      <c r="C34" s="53"/>
      <c r="D34" s="140">
        <v>9.9999999999999998E-13</v>
      </c>
      <c r="E34" s="57"/>
    </row>
    <row r="35" spans="1:5" s="4" customFormat="1" x14ac:dyDescent="0.25">
      <c r="A35" s="124" t="s">
        <v>86</v>
      </c>
      <c r="B35" s="25" t="str">
        <f>_xll.qlPiecewiseYoYInflation(B4,B5,B6,B7,B8,B26,,,B26)</f>
        <v>欣[test_inflation.xlsx]YoYPiecewiseInflationCurve!R35C2YoYInflationTermStructureHandle,A</v>
      </c>
      <c r="C35" s="25"/>
      <c r="D35" s="25" t="str">
        <f>_xll.qlPiecewiseYoYInflation(D4,D5,D6,D7,D8,D26,D33,D34,D33)</f>
        <v>欣[test_inflation.xlsx]YoYPiecewiseInflationCurve!R35C4YoYInflationTermStructureHandle,A</v>
      </c>
      <c r="E35" s="48"/>
    </row>
    <row r="36" spans="1:5" s="4" customFormat="1" x14ac:dyDescent="0.25">
      <c r="A36" s="125" t="s">
        <v>87</v>
      </c>
      <c r="B36" s="74" t="str">
        <f>_xll.qlPiecewiseYoYInflationAsIts(B4,B5,B6,B7,B8,B26)</f>
        <v>欣[test_inflation.xlsx]YoYPiecewiseInflationCurve!R36C2PiecewiseYoYInflation,A</v>
      </c>
      <c r="C36" s="74"/>
      <c r="D36" s="128" t="str">
        <f>_xll.qlPiecewiseYoYInflationAsIts(D4,D5,D6,D7,D8,D26,D33,D34,D33)</f>
        <v>欣[test_inflation.xlsx]YoYPiecewiseInflationCurve!R36C4PiecewiseYoYInflation,A</v>
      </c>
      <c r="E36" s="75"/>
    </row>
    <row r="37" spans="1:5" s="4" customFormat="1" x14ac:dyDescent="0.25">
      <c r="A37" s="234" t="s">
        <v>312</v>
      </c>
      <c r="B37" s="66">
        <f>_xll.qlPiecewiseYoYInflationCurveDates(B36,B36)</f>
        <v>44927</v>
      </c>
      <c r="C37" s="66"/>
      <c r="D37" s="66">
        <f>_xll.qlPiecewiseYoYInflationCurveDates(D36,D36)</f>
        <v>44927</v>
      </c>
      <c r="E37" s="109"/>
    </row>
    <row r="38" spans="1:5" s="4" customFormat="1" x14ac:dyDescent="0.25">
      <c r="A38" s="197"/>
      <c r="B38" s="243" t="s">
        <v>464</v>
      </c>
      <c r="C38" s="68"/>
      <c r="D38" s="243" t="s">
        <v>464</v>
      </c>
      <c r="E38" s="48"/>
    </row>
    <row r="39" spans="1:5" s="4" customFormat="1" x14ac:dyDescent="0.25">
      <c r="A39" s="196" t="s">
        <v>313</v>
      </c>
      <c r="B39" s="66">
        <f>_xll.qlPiecewiseYoYInflationCurveTimes(B36,B36)</f>
        <v>-1</v>
      </c>
      <c r="C39" s="19"/>
      <c r="D39" s="66">
        <f>_xll.qlPiecewiseYoYInflationCurveTimes(D36,D36)</f>
        <v>-1</v>
      </c>
      <c r="E39" s="109"/>
    </row>
    <row r="40" spans="1:5" s="4" customFormat="1" x14ac:dyDescent="0.25">
      <c r="A40" s="197"/>
      <c r="B40" s="243" t="s">
        <v>465</v>
      </c>
      <c r="C40" s="25"/>
      <c r="D40" s="243" t="s">
        <v>465</v>
      </c>
      <c r="E40" s="48"/>
    </row>
    <row r="41" spans="1:5" s="4" customFormat="1" x14ac:dyDescent="0.25">
      <c r="A41" s="240" t="s">
        <v>314</v>
      </c>
      <c r="B41" s="86">
        <f>_xll.qlPiecewiseYoYInflationCurveData(B36,B36)</f>
        <v>2.5000000000000001E-2</v>
      </c>
      <c r="C41" s="19"/>
      <c r="D41" s="86">
        <f>_xll.qlPiecewiseYoYInflationCurveData(D36,D36)</f>
        <v>2.5000000000000001E-2</v>
      </c>
      <c r="E41" s="109"/>
    </row>
    <row r="42" spans="1:5" s="4" customFormat="1" x14ac:dyDescent="0.25">
      <c r="A42" s="244"/>
      <c r="B42" s="243" t="s">
        <v>466</v>
      </c>
      <c r="C42" s="25"/>
      <c r="D42" s="243" t="s">
        <v>466</v>
      </c>
      <c r="E42" s="48"/>
    </row>
    <row r="43" spans="1:5" s="4" customFormat="1" x14ac:dyDescent="0.25">
      <c r="A43" s="242" t="s">
        <v>315</v>
      </c>
      <c r="B43" s="66">
        <f>_xll.qlPiecewiseYoYInflationCurveNodes(B36,B36)</f>
        <v>44927</v>
      </c>
      <c r="C43" s="86"/>
      <c r="D43" s="66">
        <f>_xll.qlPiecewiseYoYInflationCurveNodes(D36,D36)</f>
        <v>44927</v>
      </c>
      <c r="E43" s="87"/>
    </row>
    <row r="44" spans="1:5" s="4" customFormat="1" x14ac:dyDescent="0.25">
      <c r="A44" s="198"/>
      <c r="B44" s="243" t="s">
        <v>467</v>
      </c>
      <c r="C44" s="91"/>
      <c r="D44" s="243" t="s">
        <v>467</v>
      </c>
      <c r="E44" s="56"/>
    </row>
    <row r="45" spans="1:5" s="4" customFormat="1" x14ac:dyDescent="0.25">
      <c r="A45" s="85" t="s">
        <v>14</v>
      </c>
      <c r="B45" s="66">
        <v>45809</v>
      </c>
      <c r="C45" s="86"/>
      <c r="D45" s="66">
        <v>45809</v>
      </c>
      <c r="E45" s="109"/>
    </row>
    <row r="46" spans="1:5" s="4" customFormat="1" x14ac:dyDescent="0.25">
      <c r="A46" s="88" t="s">
        <v>53</v>
      </c>
      <c r="B46" s="52"/>
      <c r="C46" s="53"/>
      <c r="D46" s="52" t="b">
        <v>1</v>
      </c>
      <c r="E46" s="57"/>
    </row>
    <row r="47" spans="1:5" s="4" customFormat="1" x14ac:dyDescent="0.25">
      <c r="A47" s="124" t="s">
        <v>64</v>
      </c>
      <c r="B47" s="91">
        <f>_xll.qlYoYInflationTermStructureYoYRate(B35,B45,,B35)</f>
        <v>2.0935064019912675E-2</v>
      </c>
      <c r="C47" s="68"/>
      <c r="D47" s="91">
        <f>_xll.qlYoYInflationTermStructureYoYRate(D35,D45,D46,D35)</f>
        <v>2.093506401991263E-2</v>
      </c>
      <c r="E47" s="48"/>
    </row>
    <row r="48" spans="1:5" s="4" customFormat="1" x14ac:dyDescent="0.25">
      <c r="A48" s="85" t="s">
        <v>14</v>
      </c>
      <c r="B48" s="66">
        <v>45809</v>
      </c>
      <c r="C48" s="66"/>
      <c r="D48" s="66">
        <v>45809</v>
      </c>
      <c r="E48" s="109"/>
    </row>
    <row r="49" spans="1:5" s="4" customFormat="1" x14ac:dyDescent="0.25">
      <c r="A49" s="88" t="s">
        <v>54</v>
      </c>
      <c r="B49" s="53" t="s">
        <v>56</v>
      </c>
      <c r="C49" s="52"/>
      <c r="D49" s="53" t="s">
        <v>56</v>
      </c>
      <c r="E49" s="57"/>
    </row>
    <row r="50" spans="1:5" s="4" customFormat="1" x14ac:dyDescent="0.25">
      <c r="A50" s="88" t="s">
        <v>55</v>
      </c>
      <c r="B50" s="53"/>
      <c r="C50" s="52"/>
      <c r="D50" s="53" t="b">
        <v>1</v>
      </c>
      <c r="E50" s="57"/>
    </row>
    <row r="51" spans="1:5" s="4" customFormat="1" x14ac:dyDescent="0.25">
      <c r="A51" s="88" t="s">
        <v>53</v>
      </c>
      <c r="B51" s="53"/>
      <c r="C51" s="52"/>
      <c r="D51" s="53" t="b">
        <v>1</v>
      </c>
      <c r="E51" s="57"/>
    </row>
    <row r="52" spans="1:5" s="4" customFormat="1" x14ac:dyDescent="0.25">
      <c r="A52" s="124" t="s">
        <v>65</v>
      </c>
      <c r="B52" s="91">
        <f>_xll.qlYoYInflationTermStructureYoYRate2(B35,B48,B49,,,B35)</f>
        <v>2.0935064019912675E-2</v>
      </c>
      <c r="C52" s="68"/>
      <c r="D52" s="91">
        <f>_xll.qlYoYInflationTermStructureYoYRate2(D35,D48,D49,D50,D51,D35)</f>
        <v>2.0434593105811638E-2</v>
      </c>
      <c r="E52" s="48"/>
    </row>
    <row r="53" spans="1:5" s="4" customFormat="1" x14ac:dyDescent="0.25">
      <c r="A53" s="85" t="s">
        <v>57</v>
      </c>
      <c r="B53" s="86">
        <v>1.5</v>
      </c>
      <c r="C53" s="66"/>
      <c r="D53" s="86">
        <v>1.5</v>
      </c>
      <c r="E53" s="109"/>
    </row>
    <row r="54" spans="1:5" s="4" customFormat="1" x14ac:dyDescent="0.25">
      <c r="A54" s="88" t="s">
        <v>53</v>
      </c>
      <c r="B54" s="53"/>
      <c r="C54" s="52"/>
      <c r="D54" s="53" t="b">
        <v>1</v>
      </c>
      <c r="E54" s="57"/>
    </row>
    <row r="55" spans="1:5" s="4" customFormat="1" x14ac:dyDescent="0.25">
      <c r="A55" s="124" t="s">
        <v>66</v>
      </c>
      <c r="B55" s="91">
        <f>_xll.qlYoYInflationTermStructureYoYRate3(B35,B53,,B35)</f>
        <v>1.9925781009808914E-2</v>
      </c>
      <c r="C55" s="68"/>
      <c r="D55" s="91">
        <f>_xll.qlYoYInflationTermStructureYoYRate3(D35,D53,D54,D35)</f>
        <v>1.9925781009808893E-2</v>
      </c>
      <c r="E55" s="48"/>
    </row>
    <row r="56" spans="1:5" s="4" customFormat="1" x14ac:dyDescent="0.25">
      <c r="A56" s="143" t="s">
        <v>39</v>
      </c>
      <c r="B56" s="86" t="str">
        <f>_xll.qlInflationTermStructureObservationLag(B36,B36)</f>
        <v>0D</v>
      </c>
      <c r="C56" s="86"/>
      <c r="D56" s="86" t="str">
        <f>_xll.qlInflationTermStructureObservationLag(D36,D36)</f>
        <v>0D</v>
      </c>
      <c r="E56" s="109"/>
    </row>
    <row r="57" spans="1:5" s="4" customFormat="1" x14ac:dyDescent="0.25">
      <c r="A57" s="135" t="s">
        <v>40</v>
      </c>
      <c r="B57" s="141" t="str">
        <f>_xll.qlInflationTermStructureFrequency(B36,B36)</f>
        <v>ANNUAL</v>
      </c>
      <c r="C57" s="142"/>
      <c r="D57" s="141" t="str">
        <f>_xll.qlInflationTermStructureFrequency(D36,D36)</f>
        <v>ANNUAL</v>
      </c>
      <c r="E57" s="75"/>
    </row>
    <row r="58" spans="1:5" s="4" customFormat="1" x14ac:dyDescent="0.25">
      <c r="A58" s="108" t="s">
        <v>41</v>
      </c>
      <c r="B58" s="134">
        <f>_xll.qlInflationTermStructureBaseRate(B36,B36)</f>
        <v>2.5000000000000001E-2</v>
      </c>
      <c r="C58" s="77"/>
      <c r="D58" s="134">
        <f>_xll.qlInflationTermStructureBaseRate(D36,D36)</f>
        <v>2.5000000000000001E-2</v>
      </c>
      <c r="E58" s="57"/>
    </row>
    <row r="59" spans="1:5" s="4" customFormat="1" x14ac:dyDescent="0.25">
      <c r="A59" s="137" t="s">
        <v>42</v>
      </c>
      <c r="B59" s="128">
        <f>_xll.qlInflationTermStructureBaseDate(B36,B36)</f>
        <v>44927</v>
      </c>
      <c r="C59" s="128"/>
      <c r="D59" s="128">
        <f>_xll.qlInflationTermStructureBaseDate(D36,D36)</f>
        <v>44927</v>
      </c>
      <c r="E59" s="75"/>
    </row>
    <row r="60" spans="1:5" s="4" customFormat="1" x14ac:dyDescent="0.25">
      <c r="A60" s="108" t="s">
        <v>43</v>
      </c>
      <c r="B60" s="52" t="b">
        <f>_xll.qlInflationTermStructureHasExplicitBaseDate(B36,B36)</f>
        <v>1</v>
      </c>
      <c r="C60" s="52"/>
      <c r="D60" s="52" t="b">
        <f>_xll.qlInflationTermStructureHasExplicitBaseDate(D36,D36)</f>
        <v>1</v>
      </c>
      <c r="E60" s="57"/>
    </row>
    <row r="61" spans="1:5" s="4" customFormat="1" x14ac:dyDescent="0.25">
      <c r="A61" s="137" t="s">
        <v>45</v>
      </c>
      <c r="B61" s="74" t="b">
        <f>ISERROR(_xll.qlInflationTermStructureSeasonality(B36,B36))</f>
        <v>1</v>
      </c>
      <c r="C61" s="74"/>
      <c r="D61" s="74" t="str">
        <f>_xll.qlInflationTermStructureSeasonality(D36,D36)</f>
        <v>欣[test_inflation.xlsx]YoYPiecewiseInflationCurve!R61C4Seasonality,A</v>
      </c>
      <c r="E61" s="75"/>
    </row>
    <row r="62" spans="1:5" s="4" customFormat="1" x14ac:dyDescent="0.25">
      <c r="A62" s="95" t="s">
        <v>46</v>
      </c>
      <c r="B62" s="52" t="b">
        <f>_xll.qlInflationTermStructureHasSeasonality(B36,B36)</f>
        <v>0</v>
      </c>
      <c r="C62" s="52"/>
      <c r="D62" s="52" t="b">
        <f>_xll.qlInflationTermStructureHasSeasonality(D36,D36)</f>
        <v>1</v>
      </c>
      <c r="E62" s="57"/>
    </row>
    <row r="63" spans="1:5" s="4" customFormat="1" x14ac:dyDescent="0.25">
      <c r="A63" s="73" t="s">
        <v>44</v>
      </c>
      <c r="B63" s="261" t="b">
        <f>_xll.qlInflationTermStructureSetSeasonality(B36,D33,B36)</f>
        <v>1</v>
      </c>
      <c r="C63" s="74"/>
      <c r="D63" s="74"/>
      <c r="E63" s="75"/>
    </row>
    <row r="64" spans="1:5" s="4" customFormat="1" x14ac:dyDescent="0.25">
      <c r="A64" s="124" t="s">
        <v>46</v>
      </c>
      <c r="B64" s="68" t="b">
        <f>_xll.qlInflationTermStructureHasSeasonality(B36,B63)</f>
        <v>1</v>
      </c>
      <c r="C64" s="25"/>
      <c r="D64" s="68"/>
      <c r="E64" s="48"/>
    </row>
    <row r="65" spans="1:3" s="4" customFormat="1" x14ac:dyDescent="0.25">
      <c r="A65" s="1"/>
    </row>
    <row r="66" spans="1:3" s="4" customFormat="1" x14ac:dyDescent="0.25">
      <c r="A66" s="1"/>
    </row>
    <row r="67" spans="1:3" s="4" customFormat="1" x14ac:dyDescent="0.25">
      <c r="A67" s="6"/>
    </row>
    <row r="68" spans="1:3" s="4" customFormat="1" x14ac:dyDescent="0.25">
      <c r="A68" s="1"/>
    </row>
    <row r="69" spans="1:3" s="4" customFormat="1" x14ac:dyDescent="0.25">
      <c r="A69" s="1"/>
    </row>
    <row r="70" spans="1:3" s="4" customFormat="1" x14ac:dyDescent="0.25">
      <c r="A70" s="1"/>
    </row>
    <row r="71" spans="1:3" s="4" customFormat="1" x14ac:dyDescent="0.25">
      <c r="A71" s="1"/>
    </row>
    <row r="72" spans="1:3" s="4" customFormat="1" x14ac:dyDescent="0.25">
      <c r="A72" s="12"/>
      <c r="B72" s="2"/>
      <c r="C72" s="2"/>
    </row>
    <row r="73" spans="1:3" s="4" customFormat="1" x14ac:dyDescent="0.25">
      <c r="A73" s="12"/>
      <c r="B73" s="2"/>
      <c r="C73" s="2"/>
    </row>
    <row r="74" spans="1:3" s="4" customFormat="1" x14ac:dyDescent="0.25">
      <c r="A74" s="12"/>
    </row>
    <row r="75" spans="1:3" s="4" customFormat="1" x14ac:dyDescent="0.25">
      <c r="A75" s="12"/>
    </row>
    <row r="76" spans="1:3" s="4" customFormat="1" x14ac:dyDescent="0.25">
      <c r="A76" s="7"/>
      <c r="B76" s="11"/>
      <c r="C76" s="11"/>
    </row>
    <row r="77" spans="1:3" s="4" customFormat="1" x14ac:dyDescent="0.25">
      <c r="A77" s="9"/>
    </row>
    <row r="78" spans="1:3" s="4" customFormat="1" x14ac:dyDescent="0.25">
      <c r="A78" s="1"/>
    </row>
    <row r="79" spans="1:3" s="4" customFormat="1" x14ac:dyDescent="0.25">
      <c r="A79" s="1"/>
    </row>
    <row r="80" spans="1:3" s="4" customFormat="1" x14ac:dyDescent="0.25">
      <c r="A80" s="1"/>
    </row>
    <row r="81" spans="1:1" s="4" customFormat="1" x14ac:dyDescent="0.25">
      <c r="A81" s="1"/>
    </row>
    <row r="82" spans="1:1" s="4" customFormat="1" x14ac:dyDescent="0.25">
      <c r="A82" s="1"/>
    </row>
    <row r="83" spans="1:1" s="4" customFormat="1" x14ac:dyDescent="0.25">
      <c r="A83" s="1"/>
    </row>
    <row r="84" spans="1:1" s="4" customFormat="1" x14ac:dyDescent="0.25">
      <c r="A84" s="1"/>
    </row>
    <row r="85" spans="1:1" s="4" customFormat="1" x14ac:dyDescent="0.25">
      <c r="A85" s="1"/>
    </row>
    <row r="86" spans="1:1" s="4" customFormat="1" x14ac:dyDescent="0.25">
      <c r="A86" s="1"/>
    </row>
    <row r="87" spans="1:1" s="4" customFormat="1" x14ac:dyDescent="0.25">
      <c r="A87" s="1"/>
    </row>
    <row r="88" spans="1:1" s="4" customFormat="1" x14ac:dyDescent="0.25">
      <c r="A88" s="1"/>
    </row>
    <row r="89" spans="1:1" s="4" customFormat="1" x14ac:dyDescent="0.25">
      <c r="A89" s="1"/>
    </row>
    <row r="90" spans="1:1" s="4" customFormat="1" x14ac:dyDescent="0.25">
      <c r="A90" s="1"/>
    </row>
    <row r="91" spans="1:1" s="4" customFormat="1" x14ac:dyDescent="0.25">
      <c r="A91" s="1"/>
    </row>
    <row r="92" spans="1:1" s="4" customFormat="1" x14ac:dyDescent="0.25">
      <c r="A92" s="1"/>
    </row>
    <row r="93" spans="1:1" s="4" customFormat="1" x14ac:dyDescent="0.25">
      <c r="A93" s="1"/>
    </row>
    <row r="94" spans="1:1" s="4" customFormat="1" x14ac:dyDescent="0.25">
      <c r="A94" s="1"/>
    </row>
    <row r="95" spans="1:1" s="4" customFormat="1" x14ac:dyDescent="0.25">
      <c r="A95" s="1"/>
    </row>
    <row r="96" spans="1:1" s="4" customFormat="1" x14ac:dyDescent="0.25">
      <c r="A96" s="1"/>
    </row>
    <row r="97" spans="1:1" s="4" customFormat="1" x14ac:dyDescent="0.25">
      <c r="A97" s="1"/>
    </row>
    <row r="98" spans="1:1" s="4" customFormat="1" x14ac:dyDescent="0.25">
      <c r="A98" s="1"/>
    </row>
    <row r="99" spans="1:1" s="4" customFormat="1" x14ac:dyDescent="0.25">
      <c r="A99" s="1"/>
    </row>
    <row r="100" spans="1:1" s="4" customFormat="1" x14ac:dyDescent="0.25">
      <c r="A100" s="1"/>
    </row>
    <row r="101" spans="1:1" s="4" customFormat="1" x14ac:dyDescent="0.25">
      <c r="A101" s="1"/>
    </row>
  </sheetData>
  <pageMargins left="0.7" right="0.7" top="0.78740157499999996" bottom="0.78740157499999996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92719-8DB3-4F25-86F1-FE06B2AE169A}">
  <dimension ref="A1:D3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52.42578125" customWidth="1"/>
    <col min="2" max="2" width="87" style="4" customWidth="1"/>
    <col min="3" max="4" width="11.5703125" style="4"/>
  </cols>
  <sheetData>
    <row r="1" spans="1:3" x14ac:dyDescent="0.25">
      <c r="A1" t="s">
        <v>2</v>
      </c>
      <c r="B1" s="2">
        <v>45292</v>
      </c>
      <c r="C1" s="11"/>
    </row>
    <row r="2" spans="1:3" x14ac:dyDescent="0.25">
      <c r="A2" t="s">
        <v>3</v>
      </c>
      <c r="B2" s="2">
        <f>_xll.qlSettingsSetEvaluationDate(B1)</f>
        <v>45292</v>
      </c>
      <c r="C2" s="11"/>
    </row>
    <row r="4" spans="1:3" s="4" customFormat="1" x14ac:dyDescent="0.25">
      <c r="A4" s="64" t="s">
        <v>18</v>
      </c>
      <c r="B4" s="46">
        <v>45200</v>
      </c>
    </row>
    <row r="5" spans="1:3" s="4" customFormat="1" x14ac:dyDescent="0.25">
      <c r="A5" s="65" t="s">
        <v>18</v>
      </c>
      <c r="B5" s="55">
        <v>47392</v>
      </c>
    </row>
    <row r="6" spans="1:3" s="4" customFormat="1" x14ac:dyDescent="0.25">
      <c r="A6" s="65" t="s">
        <v>19</v>
      </c>
      <c r="B6" s="57">
        <v>0.02</v>
      </c>
    </row>
    <row r="7" spans="1:3" s="4" customFormat="1" x14ac:dyDescent="0.25">
      <c r="A7" s="65" t="s">
        <v>19</v>
      </c>
      <c r="B7" s="57">
        <v>0.02</v>
      </c>
    </row>
    <row r="8" spans="1:3" s="4" customFormat="1" x14ac:dyDescent="0.25">
      <c r="A8" s="65" t="s">
        <v>15</v>
      </c>
      <c r="B8" s="61" t="str">
        <f>_xll.qlZeroInflationCurve($B$1,B4:B5,B6:B7,"annual","act/360",,B2)</f>
        <v>欣[test_inflation.xlsx]CPIUtilities!R8C2ZeroInflationTermStructureHandle,A</v>
      </c>
    </row>
    <row r="9" spans="1:3" s="14" customFormat="1" x14ac:dyDescent="0.25">
      <c r="A9" s="113" t="s">
        <v>135</v>
      </c>
      <c r="B9" s="115" t="str">
        <f>_xll.qlEUHICP(B8,B8)</f>
        <v>欣[test_inflation.xlsx]CPIUtilities!R9C2EUHICP,A</v>
      </c>
    </row>
    <row r="10" spans="1:3" s="14" customFormat="1" x14ac:dyDescent="0.25">
      <c r="A10" s="64" t="s">
        <v>14</v>
      </c>
      <c r="B10" s="117">
        <v>45200</v>
      </c>
    </row>
    <row r="11" spans="1:3" s="14" customFormat="1" x14ac:dyDescent="0.25">
      <c r="A11" s="96" t="s">
        <v>22</v>
      </c>
      <c r="B11" s="145">
        <v>100</v>
      </c>
    </row>
    <row r="12" spans="1:3" s="14" customFormat="1" x14ac:dyDescent="0.25">
      <c r="A12" s="120" t="s">
        <v>21</v>
      </c>
      <c r="B12" s="61" t="b">
        <f>_xll.qlIndexAddFixing(B9,B10,B11,,B9)</f>
        <v>1</v>
      </c>
    </row>
    <row r="13" spans="1:3" x14ac:dyDescent="0.25">
      <c r="A13" s="120" t="s">
        <v>14</v>
      </c>
      <c r="B13" s="55">
        <v>45444</v>
      </c>
    </row>
    <row r="14" spans="1:3" x14ac:dyDescent="0.25">
      <c r="A14" s="120" t="s">
        <v>54</v>
      </c>
      <c r="B14" s="57" t="s">
        <v>17</v>
      </c>
    </row>
    <row r="15" spans="1:3" x14ac:dyDescent="0.25">
      <c r="A15" s="54" t="s">
        <v>136</v>
      </c>
      <c r="B15" s="57" t="s">
        <v>80</v>
      </c>
    </row>
    <row r="16" spans="1:3" x14ac:dyDescent="0.25">
      <c r="A16" s="47" t="s">
        <v>137</v>
      </c>
      <c r="B16" s="48">
        <f>_xll.qlCPILaggedFixing(B9,B13,B14,B15,B12)</f>
        <v>100.83961609994694</v>
      </c>
    </row>
    <row r="19" spans="1:2" x14ac:dyDescent="0.25">
      <c r="A19" s="64" t="s">
        <v>18</v>
      </c>
      <c r="B19" s="46">
        <v>45200</v>
      </c>
    </row>
    <row r="20" spans="1:2" x14ac:dyDescent="0.25">
      <c r="A20" s="65" t="s">
        <v>18</v>
      </c>
      <c r="B20" s="55">
        <v>47392</v>
      </c>
    </row>
    <row r="21" spans="1:2" x14ac:dyDescent="0.25">
      <c r="A21" s="65" t="s">
        <v>19</v>
      </c>
      <c r="B21" s="57">
        <v>0.02</v>
      </c>
    </row>
    <row r="22" spans="1:2" x14ac:dyDescent="0.25">
      <c r="A22" s="65" t="s">
        <v>19</v>
      </c>
      <c r="B22" s="57">
        <v>0.02</v>
      </c>
    </row>
    <row r="23" spans="1:2" x14ac:dyDescent="0.25">
      <c r="A23" s="65" t="s">
        <v>15</v>
      </c>
      <c r="B23" s="61" t="str">
        <f>_xll.qlYoYInflationCurve($B$1,B19:B20,B21:B22,"annual","act/360",,B2)</f>
        <v>欣[test_inflation.xlsx]CPIUtilities!R23C2YoYInflationTermStructureHandle,A</v>
      </c>
    </row>
    <row r="24" spans="1:2" x14ac:dyDescent="0.25">
      <c r="A24" s="113" t="s">
        <v>135</v>
      </c>
      <c r="B24" s="115" t="str">
        <f>_xll.qlYYEUHICP(B23,B23)</f>
        <v>欣[test_inflation.xlsx]CPIUtilities!R24C2YYEUHICP,A</v>
      </c>
    </row>
    <row r="25" spans="1:2" x14ac:dyDescent="0.25">
      <c r="A25" s="64" t="s">
        <v>14</v>
      </c>
      <c r="B25" s="117">
        <v>45200</v>
      </c>
    </row>
    <row r="26" spans="1:2" x14ac:dyDescent="0.25">
      <c r="A26" s="96" t="s">
        <v>22</v>
      </c>
      <c r="B26" s="145">
        <v>102</v>
      </c>
    </row>
    <row r="27" spans="1:2" x14ac:dyDescent="0.25">
      <c r="A27" s="120" t="s">
        <v>21</v>
      </c>
      <c r="B27" s="61" t="b">
        <f>_xll.qlIndexAddFixing(B24,B25,B26,,B24)</f>
        <v>1</v>
      </c>
    </row>
    <row r="28" spans="1:2" x14ac:dyDescent="0.25">
      <c r="A28" s="120" t="s">
        <v>14</v>
      </c>
      <c r="B28" s="55">
        <v>45444</v>
      </c>
    </row>
    <row r="29" spans="1:2" x14ac:dyDescent="0.25">
      <c r="A29" s="120" t="s">
        <v>54</v>
      </c>
      <c r="B29" s="57" t="s">
        <v>17</v>
      </c>
    </row>
    <row r="30" spans="1:2" x14ac:dyDescent="0.25">
      <c r="A30" s="54" t="s">
        <v>136</v>
      </c>
      <c r="B30" s="57" t="s">
        <v>80</v>
      </c>
    </row>
    <row r="31" spans="1:2" x14ac:dyDescent="0.25">
      <c r="A31" s="47" t="s">
        <v>138</v>
      </c>
      <c r="B31" s="48">
        <f>_xll.qlCPILaggedYoYRate(B24,B28,B29,B30,B27)</f>
        <v>0.02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7AFE2-C129-4F50-BD06-94DF1B604A6B}">
  <dimension ref="A1:D1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52.42578125" customWidth="1"/>
    <col min="2" max="2" width="87" style="4" customWidth="1"/>
    <col min="3" max="3" width="80.42578125" style="4" customWidth="1"/>
    <col min="4" max="4" width="11.5703125" style="4"/>
  </cols>
  <sheetData>
    <row r="1" spans="1:4" x14ac:dyDescent="0.25">
      <c r="A1" t="s">
        <v>2</v>
      </c>
      <c r="B1" s="2"/>
      <c r="C1" s="11"/>
      <c r="D1" s="17"/>
    </row>
    <row r="2" spans="1:4" x14ac:dyDescent="0.25">
      <c r="A2" t="s">
        <v>3</v>
      </c>
      <c r="B2" s="2"/>
      <c r="C2" s="11"/>
    </row>
    <row r="4" spans="1:4" x14ac:dyDescent="0.25">
      <c r="A4" s="49" t="s">
        <v>140</v>
      </c>
      <c r="B4" s="19">
        <v>1000</v>
      </c>
      <c r="C4" s="109">
        <v>1000</v>
      </c>
    </row>
    <row r="5" spans="1:4" s="4" customFormat="1" x14ac:dyDescent="0.25">
      <c r="A5" s="64" t="s">
        <v>18</v>
      </c>
      <c r="B5" s="66">
        <v>45200</v>
      </c>
      <c r="C5" s="46">
        <v>45200</v>
      </c>
    </row>
    <row r="6" spans="1:4" s="4" customFormat="1" x14ac:dyDescent="0.25">
      <c r="A6" s="65" t="s">
        <v>18</v>
      </c>
      <c r="B6" s="52">
        <v>47392</v>
      </c>
      <c r="C6" s="55">
        <v>47392</v>
      </c>
    </row>
    <row r="7" spans="1:4" s="4" customFormat="1" x14ac:dyDescent="0.25">
      <c r="A7" s="65" t="s">
        <v>19</v>
      </c>
      <c r="B7" s="22">
        <v>0.02</v>
      </c>
      <c r="C7" s="57">
        <v>0.02</v>
      </c>
    </row>
    <row r="8" spans="1:4" s="4" customFormat="1" x14ac:dyDescent="0.25">
      <c r="A8" s="65" t="s">
        <v>19</v>
      </c>
      <c r="B8" s="22">
        <v>0.02</v>
      </c>
      <c r="C8" s="57">
        <v>0.02</v>
      </c>
    </row>
    <row r="9" spans="1:4" s="14" customFormat="1" x14ac:dyDescent="0.25">
      <c r="A9" s="113" t="s">
        <v>135</v>
      </c>
      <c r="B9" s="114" t="str">
        <f>_xll.qlEUHICP()</f>
        <v>欣[test_inflation.xlsx]CPIInflationCashFlow!R9C2EUHICP,A</v>
      </c>
      <c r="C9" s="115" t="str">
        <f>_xll.qlEUHICP()</f>
        <v>欣[test_inflation.xlsx]CPIInflationCashFlow!R9C3EUHICP,A</v>
      </c>
    </row>
    <row r="10" spans="1:4" x14ac:dyDescent="0.25">
      <c r="A10" s="94" t="s">
        <v>50</v>
      </c>
      <c r="B10" s="52">
        <v>45292</v>
      </c>
      <c r="C10" s="55">
        <v>45292</v>
      </c>
    </row>
    <row r="11" spans="1:4" x14ac:dyDescent="0.25">
      <c r="A11" s="94" t="s">
        <v>141</v>
      </c>
      <c r="B11" s="22">
        <v>100</v>
      </c>
      <c r="C11" s="57">
        <v>100</v>
      </c>
    </row>
    <row r="12" spans="1:4" x14ac:dyDescent="0.25">
      <c r="A12" s="54" t="s">
        <v>142</v>
      </c>
      <c r="B12" s="52">
        <v>45383</v>
      </c>
      <c r="C12" s="55">
        <v>45383</v>
      </c>
    </row>
    <row r="13" spans="1:4" x14ac:dyDescent="0.25">
      <c r="A13" s="54" t="s">
        <v>54</v>
      </c>
      <c r="B13" s="22" t="s">
        <v>17</v>
      </c>
      <c r="C13" s="57" t="s">
        <v>17</v>
      </c>
    </row>
    <row r="14" spans="1:4" x14ac:dyDescent="0.25">
      <c r="A14" s="54" t="s">
        <v>96</v>
      </c>
      <c r="B14" s="22" t="s">
        <v>80</v>
      </c>
      <c r="C14" s="57" t="s">
        <v>80</v>
      </c>
    </row>
    <row r="15" spans="1:4" x14ac:dyDescent="0.25">
      <c r="A15" s="54" t="s">
        <v>91</v>
      </c>
      <c r="B15" s="52">
        <v>45474</v>
      </c>
      <c r="C15" s="55">
        <v>45474</v>
      </c>
    </row>
    <row r="16" spans="1:4" x14ac:dyDescent="0.25">
      <c r="A16" s="54" t="s">
        <v>143</v>
      </c>
      <c r="B16" s="22"/>
      <c r="C16" s="57" t="b">
        <v>1</v>
      </c>
    </row>
    <row r="17" spans="1:3" x14ac:dyDescent="0.25">
      <c r="A17" s="47" t="s">
        <v>144</v>
      </c>
      <c r="B17" s="25" t="str">
        <f>_xll.qlCPICashFlow(B4,B9,B10,B11,B12,B13,B14,B15,,B9)</f>
        <v>欣[test_inflation.xlsx]CPIInflationCashFlow!R17C2CPICashFlow,A</v>
      </c>
      <c r="C17" s="48" t="str">
        <f>_xll.qlCPICashFlow(C4,C9,C10,C11,C12,C13,C14,C15,C16,C9)</f>
        <v>欣[test_inflation.xlsx]CPIInflationCashFlow!R17C3CPICashFlow,A</v>
      </c>
    </row>
    <row r="18" spans="1:3" x14ac:dyDescent="0.25">
      <c r="A18" s="137" t="s">
        <v>145</v>
      </c>
      <c r="B18" s="74" t="str">
        <f>_xll.qlCPICashFlowInterpolation(B17,B17)</f>
        <v>ASINDEX</v>
      </c>
      <c r="C18" s="75" t="str">
        <f>_xll.qlCPICashFlowInterpolation(C17,C17)</f>
        <v>ASINDEX</v>
      </c>
    </row>
    <row r="19" spans="1:3" x14ac:dyDescent="0.25">
      <c r="A19" s="137" t="s">
        <v>146</v>
      </c>
      <c r="B19" s="74" t="str">
        <f>_xll.qlCPICashFlowFrequency(B17,B17)</f>
        <v>MONTHLY</v>
      </c>
      <c r="C19" s="75" t="str">
        <f>_xll.qlCPICashFlowFrequency(C17,C17)</f>
        <v>MONTHLY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5F3FF-5757-47EF-9811-ED2159023ECB}">
  <dimension ref="A1:D3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52.42578125" customWidth="1"/>
    <col min="2" max="2" width="87" style="4" customWidth="1"/>
    <col min="3" max="3" width="80.42578125" style="4" customWidth="1"/>
    <col min="4" max="4" width="11.5703125" style="4"/>
  </cols>
  <sheetData>
    <row r="1" spans="1:4" x14ac:dyDescent="0.25">
      <c r="A1" t="s">
        <v>2</v>
      </c>
      <c r="B1" s="2"/>
      <c r="C1" s="13"/>
      <c r="D1" s="17"/>
    </row>
    <row r="2" spans="1:4" x14ac:dyDescent="0.25">
      <c r="A2" t="s">
        <v>3</v>
      </c>
      <c r="B2" s="2"/>
      <c r="C2" s="11"/>
    </row>
    <row r="4" spans="1:4" x14ac:dyDescent="0.25">
      <c r="A4" s="49" t="s">
        <v>147</v>
      </c>
      <c r="B4" s="19">
        <v>1000000</v>
      </c>
      <c r="C4" s="109">
        <v>1000000</v>
      </c>
    </row>
    <row r="5" spans="1:4" x14ac:dyDescent="0.25">
      <c r="A5" s="126" t="s">
        <v>147</v>
      </c>
      <c r="B5" s="25">
        <v>1000000</v>
      </c>
      <c r="C5" s="48">
        <v>1000000</v>
      </c>
    </row>
    <row r="6" spans="1:4" x14ac:dyDescent="0.25">
      <c r="A6" s="85" t="s">
        <v>159</v>
      </c>
      <c r="B6" s="66">
        <v>45292</v>
      </c>
      <c r="C6" s="46">
        <v>45292</v>
      </c>
    </row>
    <row r="7" spans="1:4" x14ac:dyDescent="0.25">
      <c r="A7" s="88" t="s">
        <v>160</v>
      </c>
      <c r="B7" s="52">
        <v>46023</v>
      </c>
      <c r="C7" s="55">
        <v>47119</v>
      </c>
    </row>
    <row r="8" spans="1:4" x14ac:dyDescent="0.25">
      <c r="A8" s="88" t="s">
        <v>161</v>
      </c>
      <c r="B8" s="22" t="s">
        <v>167</v>
      </c>
      <c r="C8" s="57" t="s">
        <v>167</v>
      </c>
    </row>
    <row r="9" spans="1:4" x14ac:dyDescent="0.25">
      <c r="A9" s="88" t="s">
        <v>75</v>
      </c>
      <c r="B9" s="22" t="s">
        <v>78</v>
      </c>
      <c r="C9" s="57" t="s">
        <v>78</v>
      </c>
    </row>
    <row r="10" spans="1:4" x14ac:dyDescent="0.25">
      <c r="A10" s="88" t="s">
        <v>162</v>
      </c>
      <c r="B10" s="22" t="s">
        <v>79</v>
      </c>
      <c r="C10" s="57" t="s">
        <v>79</v>
      </c>
    </row>
    <row r="11" spans="1:4" x14ac:dyDescent="0.25">
      <c r="A11" s="88" t="s">
        <v>163</v>
      </c>
      <c r="B11" s="22" t="s">
        <v>79</v>
      </c>
      <c r="C11" s="57" t="s">
        <v>79</v>
      </c>
    </row>
    <row r="12" spans="1:4" x14ac:dyDescent="0.25">
      <c r="A12" s="88" t="s">
        <v>164</v>
      </c>
      <c r="B12" s="22" t="s">
        <v>166</v>
      </c>
      <c r="C12" s="57" t="s">
        <v>166</v>
      </c>
    </row>
    <row r="13" spans="1:4" x14ac:dyDescent="0.25">
      <c r="A13" s="88" t="s">
        <v>165</v>
      </c>
      <c r="B13" s="22" t="b">
        <v>0</v>
      </c>
      <c r="C13" s="57" t="b">
        <v>0</v>
      </c>
    </row>
    <row r="14" spans="1:4" x14ac:dyDescent="0.25">
      <c r="A14" s="98" t="s">
        <v>148</v>
      </c>
      <c r="B14" s="25" t="str">
        <f>_xll.qlSchedule(B6,B7,B8,B9,B10,B11,B12,B13)</f>
        <v>欣[test_inflation.xlsx]CPILeg!R14C2Schedule,A</v>
      </c>
      <c r="C14" s="48" t="str">
        <f>_xll.qlSchedule(C6,C7,C8,C9,C10,C11,C12,C13)</f>
        <v>欣[test_inflation.xlsx]CPILeg!R14C3Schedule,A</v>
      </c>
    </row>
    <row r="15" spans="1:4" x14ac:dyDescent="0.25">
      <c r="A15" s="54" t="s">
        <v>90</v>
      </c>
      <c r="B15" s="22" t="str">
        <f>_xll.qlEUHICP(,B14)</f>
        <v>欣[test_inflation.xlsx]CPILeg!R15C2EUHICP,A</v>
      </c>
      <c r="C15" s="57" t="str">
        <f>_xll.qlEUHICP(,C14)</f>
        <v>欣[test_inflation.xlsx]CPILeg!R15C3EUHICP,A</v>
      </c>
    </row>
    <row r="16" spans="1:4" x14ac:dyDescent="0.25">
      <c r="A16" s="54" t="s">
        <v>119</v>
      </c>
      <c r="B16" s="22">
        <v>100</v>
      </c>
      <c r="C16" s="57">
        <v>100</v>
      </c>
    </row>
    <row r="17" spans="1:3" x14ac:dyDescent="0.25">
      <c r="A17" s="54" t="s">
        <v>54</v>
      </c>
      <c r="B17" s="22" t="s">
        <v>17</v>
      </c>
      <c r="C17" s="57" t="s">
        <v>17</v>
      </c>
    </row>
    <row r="18" spans="1:3" x14ac:dyDescent="0.25">
      <c r="A18" s="54" t="s">
        <v>149</v>
      </c>
      <c r="B18" s="22" t="s">
        <v>52</v>
      </c>
      <c r="C18" s="57" t="s">
        <v>52</v>
      </c>
    </row>
    <row r="19" spans="1:3" x14ac:dyDescent="0.25">
      <c r="A19" s="54" t="s">
        <v>150</v>
      </c>
      <c r="B19" s="22"/>
      <c r="C19" s="57" t="s">
        <v>171</v>
      </c>
    </row>
    <row r="20" spans="1:3" x14ac:dyDescent="0.25">
      <c r="A20" s="49" t="s">
        <v>151</v>
      </c>
      <c r="B20" s="19"/>
      <c r="C20" s="109">
        <v>0.02</v>
      </c>
    </row>
    <row r="21" spans="1:3" x14ac:dyDescent="0.25">
      <c r="A21" s="126" t="s">
        <v>151</v>
      </c>
      <c r="B21" s="25"/>
      <c r="C21" s="48">
        <v>0.02</v>
      </c>
    </row>
    <row r="22" spans="1:3" x14ac:dyDescent="0.25">
      <c r="A22" s="49" t="s">
        <v>152</v>
      </c>
      <c r="B22" s="19"/>
      <c r="C22" s="109"/>
    </row>
    <row r="23" spans="1:3" x14ac:dyDescent="0.25">
      <c r="A23" s="126" t="s">
        <v>152</v>
      </c>
      <c r="B23" s="25"/>
      <c r="C23" s="48"/>
    </row>
    <row r="24" spans="1:3" x14ac:dyDescent="0.25">
      <c r="A24" s="49" t="s">
        <v>153</v>
      </c>
      <c r="B24" s="19"/>
      <c r="C24" s="109"/>
    </row>
    <row r="25" spans="1:3" x14ac:dyDescent="0.25">
      <c r="A25" s="126" t="s">
        <v>153</v>
      </c>
      <c r="B25" s="25"/>
      <c r="C25" s="48"/>
    </row>
    <row r="26" spans="1:3" x14ac:dyDescent="0.25">
      <c r="A26" s="54" t="s">
        <v>154</v>
      </c>
      <c r="B26" s="22"/>
      <c r="C26" s="57" t="s">
        <v>172</v>
      </c>
    </row>
    <row r="27" spans="1:3" x14ac:dyDescent="0.25">
      <c r="A27" s="54" t="s">
        <v>155</v>
      </c>
      <c r="B27" s="22"/>
      <c r="C27" s="57" t="s">
        <v>78</v>
      </c>
    </row>
    <row r="28" spans="1:3" x14ac:dyDescent="0.25">
      <c r="A28" s="54" t="s">
        <v>156</v>
      </c>
      <c r="B28" s="22"/>
      <c r="C28" s="57" t="s">
        <v>79</v>
      </c>
    </row>
    <row r="29" spans="1:3" x14ac:dyDescent="0.25">
      <c r="A29" s="54" t="s">
        <v>157</v>
      </c>
      <c r="B29" s="22"/>
      <c r="C29" s="57" t="b">
        <v>1</v>
      </c>
    </row>
    <row r="30" spans="1:3" x14ac:dyDescent="0.25">
      <c r="A30" s="54" t="s">
        <v>158</v>
      </c>
      <c r="B30" s="22"/>
      <c r="C30" s="57" t="s">
        <v>78</v>
      </c>
    </row>
    <row r="31" spans="1:3" x14ac:dyDescent="0.25">
      <c r="A31" s="54" t="s">
        <v>143</v>
      </c>
      <c r="B31" s="22"/>
      <c r="C31" s="57" t="b">
        <v>0</v>
      </c>
    </row>
    <row r="32" spans="1:3" x14ac:dyDescent="0.25">
      <c r="A32" s="54" t="s">
        <v>77</v>
      </c>
      <c r="B32" s="22"/>
      <c r="C32" s="57" t="s">
        <v>173</v>
      </c>
    </row>
    <row r="33" spans="1:3" x14ac:dyDescent="0.25">
      <c r="A33" s="47" t="s">
        <v>168</v>
      </c>
      <c r="B33" s="48" t="str">
        <f>_xll.qlCPILeg(B4:B5,B14,B15,B16,B17,B18,,,,,,,,,,,,B15)</f>
        <v>欣[test_inflation.xlsx]CPILeg!R33C2CashFlow,A</v>
      </c>
      <c r="C33" s="48" t="str">
        <f>_xll.qlCPILeg(C4:C5,C14,C15,C16,C17,C18,C19,C20:C21,C22:C23,C24:C25,C26,C27,C28,C29,C30,C31,C32,C15)</f>
        <v>欣[test_inflation.xlsx]CPILeg!R33C3CashFlow,A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E3EA4-FF3D-4ECA-9FF5-B95E0970D314}">
  <dimension ref="A1:D2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52.42578125" customWidth="1"/>
    <col min="2" max="2" width="87" style="4" customWidth="1"/>
    <col min="3" max="3" width="80.42578125" style="4" customWidth="1"/>
    <col min="4" max="4" width="11.5703125" style="4"/>
  </cols>
  <sheetData>
    <row r="1" spans="1:4" x14ac:dyDescent="0.25">
      <c r="A1" t="s">
        <v>2</v>
      </c>
      <c r="B1" s="2"/>
      <c r="C1" s="11"/>
      <c r="D1" s="17"/>
    </row>
    <row r="2" spans="1:4" x14ac:dyDescent="0.25">
      <c r="A2" t="s">
        <v>3</v>
      </c>
      <c r="B2" s="2"/>
      <c r="C2" s="11"/>
    </row>
    <row r="4" spans="1:4" x14ac:dyDescent="0.25">
      <c r="A4" s="146" t="s">
        <v>140</v>
      </c>
      <c r="B4" s="74">
        <v>1000</v>
      </c>
      <c r="C4" s="75">
        <v>1000</v>
      </c>
    </row>
    <row r="5" spans="1:4" s="4" customFormat="1" x14ac:dyDescent="0.25">
      <c r="A5" s="64" t="s">
        <v>18</v>
      </c>
      <c r="B5" s="66">
        <v>45200</v>
      </c>
      <c r="C5" s="46">
        <v>45200</v>
      </c>
    </row>
    <row r="6" spans="1:4" s="4" customFormat="1" x14ac:dyDescent="0.25">
      <c r="A6" s="65" t="s">
        <v>18</v>
      </c>
      <c r="B6" s="52">
        <v>47392</v>
      </c>
      <c r="C6" s="55">
        <v>47392</v>
      </c>
    </row>
    <row r="7" spans="1:4" s="4" customFormat="1" x14ac:dyDescent="0.25">
      <c r="A7" s="65" t="s">
        <v>19</v>
      </c>
      <c r="B7" s="22">
        <v>0.02</v>
      </c>
      <c r="C7" s="57">
        <v>0.02</v>
      </c>
    </row>
    <row r="8" spans="1:4" s="4" customFormat="1" x14ac:dyDescent="0.25">
      <c r="A8" s="65" t="s">
        <v>19</v>
      </c>
      <c r="B8" s="22">
        <v>0.02</v>
      </c>
      <c r="C8" s="57">
        <v>0.02</v>
      </c>
    </row>
    <row r="9" spans="1:4" s="14" customFormat="1" x14ac:dyDescent="0.25">
      <c r="A9" s="113" t="s">
        <v>135</v>
      </c>
      <c r="B9" s="114" t="str">
        <f>_xll.qlEUHICP()</f>
        <v>欣[test_inflation.xlsx]ZeroInflationCashFlow!R9C2EUHICP,A</v>
      </c>
      <c r="C9" s="115" t="str">
        <f>_xll.qlEUHICP()</f>
        <v>欣[test_inflation.xlsx]ZeroInflationCashFlow!R9C3EUHICP,A</v>
      </c>
    </row>
    <row r="10" spans="1:4" x14ac:dyDescent="0.25">
      <c r="A10" s="94" t="s">
        <v>77</v>
      </c>
      <c r="B10" s="52" t="s">
        <v>80</v>
      </c>
      <c r="C10" s="55" t="s">
        <v>80</v>
      </c>
    </row>
    <row r="11" spans="1:4" x14ac:dyDescent="0.25">
      <c r="A11" s="94" t="s">
        <v>93</v>
      </c>
      <c r="B11" s="52">
        <v>45292</v>
      </c>
      <c r="C11" s="55">
        <v>45292</v>
      </c>
    </row>
    <row r="12" spans="1:4" x14ac:dyDescent="0.25">
      <c r="A12" s="54" t="s">
        <v>94</v>
      </c>
      <c r="B12" s="52">
        <v>45658</v>
      </c>
      <c r="C12" s="55">
        <v>45658</v>
      </c>
    </row>
    <row r="13" spans="1:4" x14ac:dyDescent="0.25">
      <c r="A13" s="54" t="s">
        <v>54</v>
      </c>
      <c r="B13" s="22" t="s">
        <v>17</v>
      </c>
      <c r="C13" s="57" t="s">
        <v>17</v>
      </c>
    </row>
    <row r="14" spans="1:4" x14ac:dyDescent="0.25">
      <c r="A14" s="54" t="s">
        <v>91</v>
      </c>
      <c r="B14" s="52">
        <v>45748</v>
      </c>
      <c r="C14" s="55">
        <v>45748</v>
      </c>
    </row>
    <row r="15" spans="1:4" x14ac:dyDescent="0.25">
      <c r="A15" s="54" t="s">
        <v>143</v>
      </c>
      <c r="B15" s="52"/>
      <c r="C15" s="55" t="b">
        <v>1</v>
      </c>
    </row>
    <row r="16" spans="1:4" x14ac:dyDescent="0.25">
      <c r="A16" s="47" t="s">
        <v>174</v>
      </c>
      <c r="B16" s="25" t="str">
        <f>_xll.qlZeroInflationCashFlow(B4,B9,B10,B11,B12,B13,B14,,B9)</f>
        <v>欣[test_inflation.xlsx]ZeroInflationCashFlow!R16C2ZeroInflationCashFlow,A</v>
      </c>
      <c r="C16" s="48" t="str">
        <f>_xll.qlZeroInflationCashFlow(C4,C9,C10,C11,C12,C13,C14,C15,C9)</f>
        <v>欣[test_inflation.xlsx]ZeroInflationCashFlow!R16C3ZeroInflationCashFlow,A</v>
      </c>
    </row>
    <row r="17" spans="1:3" x14ac:dyDescent="0.25">
      <c r="A17" s="44" t="s">
        <v>175</v>
      </c>
      <c r="B17" s="147">
        <f>_xll.qlZeroInflationCashFlowNotional(B16,B16)</f>
        <v>1000</v>
      </c>
      <c r="C17" s="147">
        <f>_xll.qlZeroInflationCashFlowNotional(C16,C16)</f>
        <v>1000</v>
      </c>
    </row>
    <row r="18" spans="1:3" x14ac:dyDescent="0.25">
      <c r="A18" s="78" t="s">
        <v>176</v>
      </c>
      <c r="B18" s="237">
        <f>_xll.qlZeroInflationCashFlowBaseDate(B16,B16)</f>
        <v>45200</v>
      </c>
      <c r="C18" s="237">
        <f>_xll.qlZeroInflationCashFlowBaseDate(C16,C16)</f>
        <v>45200</v>
      </c>
    </row>
    <row r="19" spans="1:3" x14ac:dyDescent="0.25">
      <c r="A19" s="44" t="s">
        <v>177</v>
      </c>
      <c r="B19" s="148">
        <f>_xll.qlZeroInflationCashFlowFixingDate(B16,B16)</f>
        <v>45566</v>
      </c>
      <c r="C19" s="148">
        <f>_xll.qlZeroInflationCashFlowFixingDate(C16,C16)</f>
        <v>45566</v>
      </c>
    </row>
    <row r="20" spans="1:3" x14ac:dyDescent="0.25">
      <c r="A20" s="44" t="s">
        <v>178</v>
      </c>
      <c r="B20" s="147" t="b">
        <f>_xll.qlZeroInflationCashFlowGrowthOnly(B16,B16)</f>
        <v>0</v>
      </c>
      <c r="C20" s="147" t="b">
        <f>_xll.qlZeroInflationCashFlowGrowthOnly(C16,C16)</f>
        <v>1</v>
      </c>
    </row>
    <row r="21" spans="1:3" x14ac:dyDescent="0.25">
      <c r="A21" s="78" t="s">
        <v>179</v>
      </c>
      <c r="B21" s="147" t="str">
        <f>_xll.qlZeroInflationCashFlowObservationInterpolation(B16,B16)</f>
        <v>ASINDEX</v>
      </c>
      <c r="C21" s="147" t="str">
        <f>_xll.qlZeroInflationCashFlowObservationInterpolation(C16,C16)</f>
        <v>ASINDEX</v>
      </c>
    </row>
    <row r="22" spans="1:3" x14ac:dyDescent="0.25">
      <c r="A22" s="44" t="s">
        <v>180</v>
      </c>
      <c r="B22" s="147" t="str">
        <f>_xll.qlZeroInflationCashFlowZeroInflationIndex(B16,B16)</f>
        <v>欣[test_inflation.xlsx]ZeroInflationCashFlow!R22C2ZeroInflationIndex,A</v>
      </c>
      <c r="C22" s="147" t="str">
        <f>_xll.qlZeroInflationCashFlowZeroInflationIndex(C16,C16)</f>
        <v>欣[test_inflation.xlsx]ZeroInflationCashFlow!R22C3ZeroInflationIndex,A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03CF7-1E9A-4721-8164-CA96A476B43D}">
  <dimension ref="A1:D3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52.42578125" customWidth="1"/>
    <col min="2" max="2" width="87" style="4" customWidth="1"/>
    <col min="3" max="3" width="80.42578125" style="4" customWidth="1"/>
    <col min="4" max="4" width="11.5703125" style="4"/>
  </cols>
  <sheetData>
    <row r="1" spans="1:4" x14ac:dyDescent="0.25">
      <c r="A1" s="49" t="s">
        <v>2</v>
      </c>
      <c r="B1" s="66"/>
      <c r="C1" s="149"/>
      <c r="D1" s="17"/>
    </row>
    <row r="2" spans="1:4" x14ac:dyDescent="0.25">
      <c r="A2" s="54" t="s">
        <v>3</v>
      </c>
      <c r="B2" s="52"/>
      <c r="C2" s="61"/>
    </row>
    <row r="3" spans="1:4" x14ac:dyDescent="0.25">
      <c r="A3" s="54"/>
      <c r="B3" s="22"/>
      <c r="C3" s="57"/>
    </row>
    <row r="4" spans="1:4" x14ac:dyDescent="0.25">
      <c r="A4" s="85" t="s">
        <v>159</v>
      </c>
      <c r="B4" s="66">
        <v>45292</v>
      </c>
      <c r="C4" s="46">
        <v>45292</v>
      </c>
    </row>
    <row r="5" spans="1:4" x14ac:dyDescent="0.25">
      <c r="A5" s="88" t="s">
        <v>160</v>
      </c>
      <c r="B5" s="52">
        <v>46023</v>
      </c>
      <c r="C5" s="55">
        <v>46023</v>
      </c>
    </row>
    <row r="6" spans="1:4" x14ac:dyDescent="0.25">
      <c r="A6" s="88" t="s">
        <v>161</v>
      </c>
      <c r="B6" s="22" t="s">
        <v>167</v>
      </c>
      <c r="C6" s="57" t="s">
        <v>167</v>
      </c>
    </row>
    <row r="7" spans="1:4" x14ac:dyDescent="0.25">
      <c r="A7" s="88" t="s">
        <v>75</v>
      </c>
      <c r="B7" s="22" t="s">
        <v>78</v>
      </c>
      <c r="C7" s="57" t="s">
        <v>78</v>
      </c>
    </row>
    <row r="8" spans="1:4" x14ac:dyDescent="0.25">
      <c r="A8" s="88" t="s">
        <v>162</v>
      </c>
      <c r="B8" s="22" t="s">
        <v>79</v>
      </c>
      <c r="C8" s="57" t="s">
        <v>79</v>
      </c>
    </row>
    <row r="9" spans="1:4" x14ac:dyDescent="0.25">
      <c r="A9" s="88" t="s">
        <v>163</v>
      </c>
      <c r="B9" s="22" t="s">
        <v>79</v>
      </c>
      <c r="C9" s="57" t="s">
        <v>79</v>
      </c>
    </row>
    <row r="10" spans="1:4" x14ac:dyDescent="0.25">
      <c r="A10" s="88" t="s">
        <v>164</v>
      </c>
      <c r="B10" s="22" t="s">
        <v>166</v>
      </c>
      <c r="C10" s="57" t="s">
        <v>166</v>
      </c>
    </row>
    <row r="11" spans="1:4" x14ac:dyDescent="0.25">
      <c r="A11" s="88" t="s">
        <v>165</v>
      </c>
      <c r="B11" s="22" t="b">
        <v>0</v>
      </c>
      <c r="C11" s="57" t="b">
        <v>0</v>
      </c>
    </row>
    <row r="12" spans="1:4" x14ac:dyDescent="0.25">
      <c r="A12" s="98" t="s">
        <v>148</v>
      </c>
      <c r="B12" s="25" t="str">
        <f>_xll.qlSchedule(B4,B5,B6,B7,B8,B9,B10,B11)</f>
        <v>欣[test_inflation.xlsx]YoYInflationLeg!R12C2Schedule,A</v>
      </c>
      <c r="C12" s="48" t="str">
        <f>_xll.qlSchedule(C4,C5,C6,C7,C8,C9,C10,C11)</f>
        <v>欣[test_inflation.xlsx]YoYInflationLeg!R12C3Schedule,A</v>
      </c>
    </row>
    <row r="13" spans="1:4" x14ac:dyDescent="0.25">
      <c r="A13" s="54" t="s">
        <v>75</v>
      </c>
      <c r="B13" s="22" t="s">
        <v>78</v>
      </c>
      <c r="C13" s="57" t="s">
        <v>78</v>
      </c>
    </row>
    <row r="14" spans="1:4" x14ac:dyDescent="0.25">
      <c r="A14" s="54" t="s">
        <v>90</v>
      </c>
      <c r="B14" s="22" t="str">
        <f>_xll.qlYYEUHICP(,B12)</f>
        <v>欣[test_inflation.xlsx]YoYInflationLeg!R14C2YYEUHICP,A</v>
      </c>
      <c r="C14" s="57" t="str">
        <f>_xll.qlYYEUHICP(,C12)</f>
        <v>欣[test_inflation.xlsx]YoYInflationLeg!R14C3YYEUHICP,A</v>
      </c>
    </row>
    <row r="15" spans="1:4" s="4" customFormat="1" x14ac:dyDescent="0.25">
      <c r="A15" s="54" t="s">
        <v>54</v>
      </c>
      <c r="B15" s="22" t="s">
        <v>17</v>
      </c>
      <c r="C15" s="57" t="s">
        <v>17</v>
      </c>
    </row>
    <row r="16" spans="1:4" s="4" customFormat="1" x14ac:dyDescent="0.25">
      <c r="A16" s="54" t="s">
        <v>96</v>
      </c>
      <c r="B16" s="22" t="s">
        <v>80</v>
      </c>
      <c r="C16" s="57" t="s">
        <v>80</v>
      </c>
    </row>
    <row r="17" spans="1:3" s="4" customFormat="1" x14ac:dyDescent="0.25">
      <c r="A17" s="54" t="s">
        <v>182</v>
      </c>
      <c r="B17" s="22">
        <v>10000</v>
      </c>
      <c r="C17" s="57">
        <v>10000</v>
      </c>
    </row>
    <row r="18" spans="1:3" s="4" customFormat="1" x14ac:dyDescent="0.25">
      <c r="A18" s="54" t="s">
        <v>182</v>
      </c>
      <c r="B18" s="22">
        <v>10000</v>
      </c>
      <c r="C18" s="57">
        <v>10000</v>
      </c>
    </row>
    <row r="19" spans="1:3" s="4" customFormat="1" x14ac:dyDescent="0.25">
      <c r="A19" s="54" t="s">
        <v>149</v>
      </c>
      <c r="B19" s="22" t="s">
        <v>52</v>
      </c>
      <c r="C19" s="57" t="s">
        <v>52</v>
      </c>
    </row>
    <row r="20" spans="1:3" s="4" customFormat="1" x14ac:dyDescent="0.25">
      <c r="A20" s="54" t="s">
        <v>150</v>
      </c>
      <c r="B20" s="22"/>
      <c r="C20" s="57" t="s">
        <v>79</v>
      </c>
    </row>
    <row r="21" spans="1:3" s="4" customFormat="1" x14ac:dyDescent="0.25">
      <c r="A21" s="54" t="s">
        <v>95</v>
      </c>
      <c r="B21" s="22"/>
      <c r="C21" s="57">
        <v>2</v>
      </c>
    </row>
    <row r="22" spans="1:3" s="4" customFormat="1" x14ac:dyDescent="0.25">
      <c r="A22" s="49" t="s">
        <v>183</v>
      </c>
      <c r="B22" s="19"/>
      <c r="C22" s="109">
        <v>1</v>
      </c>
    </row>
    <row r="23" spans="1:3" s="4" customFormat="1" x14ac:dyDescent="0.25">
      <c r="A23" s="126" t="s">
        <v>183</v>
      </c>
      <c r="B23" s="25"/>
      <c r="C23" s="48">
        <v>1</v>
      </c>
    </row>
    <row r="24" spans="1:3" s="4" customFormat="1" x14ac:dyDescent="0.25">
      <c r="A24" s="49" t="s">
        <v>184</v>
      </c>
      <c r="B24" s="19"/>
      <c r="C24" s="109">
        <v>0.01</v>
      </c>
    </row>
    <row r="25" spans="1:3" s="4" customFormat="1" x14ac:dyDescent="0.25">
      <c r="A25" s="126" t="s">
        <v>184</v>
      </c>
      <c r="B25" s="25"/>
      <c r="C25" s="48">
        <v>0.01</v>
      </c>
    </row>
    <row r="26" spans="1:3" s="4" customFormat="1" x14ac:dyDescent="0.25">
      <c r="A26" s="49" t="s">
        <v>152</v>
      </c>
      <c r="B26" s="19"/>
      <c r="C26" s="109">
        <v>0.05</v>
      </c>
    </row>
    <row r="27" spans="1:3" s="4" customFormat="1" x14ac:dyDescent="0.25">
      <c r="A27" s="126" t="s">
        <v>152</v>
      </c>
      <c r="B27" s="25"/>
      <c r="C27" s="48">
        <v>0.05</v>
      </c>
    </row>
    <row r="28" spans="1:3" s="4" customFormat="1" x14ac:dyDescent="0.25">
      <c r="A28" s="49" t="s">
        <v>153</v>
      </c>
      <c r="B28" s="19"/>
      <c r="C28" s="109">
        <v>0</v>
      </c>
    </row>
    <row r="29" spans="1:3" s="4" customFormat="1" x14ac:dyDescent="0.25">
      <c r="A29" s="126" t="s">
        <v>153</v>
      </c>
      <c r="B29" s="25"/>
      <c r="C29" s="48">
        <v>0</v>
      </c>
    </row>
    <row r="30" spans="1:3" x14ac:dyDescent="0.25">
      <c r="A30" s="47" t="s">
        <v>185</v>
      </c>
      <c r="B30" s="25" t="str">
        <f>_xll.qlYoYInflationLeg(B12,B13,B14,B15,B16,B17:B18,B19,,,,,,,B14)</f>
        <v>欣[test_inflation.xlsx]YoYInflationLeg!R30C2CashFlow,A</v>
      </c>
      <c r="C30" s="48" t="str">
        <f>_xll.qlYoYInflationLeg(C12,C13,C14,C15,C16,C17:C18,C19,C20,C21,C22:C23,C24:C25,C26:C27,C28:C29,C14)</f>
        <v>欣[test_inflation.xlsx]YoYInflationLeg!R30C3CashFlow,A</v>
      </c>
    </row>
    <row r="31" spans="1:3" x14ac:dyDescent="0.25">
      <c r="B31" s="22"/>
      <c r="C31" s="22"/>
    </row>
    <row r="32" spans="1:3" x14ac:dyDescent="0.25">
      <c r="B32" s="22"/>
      <c r="C32" s="22"/>
    </row>
    <row r="33" spans="2:3" x14ac:dyDescent="0.25">
      <c r="B33" s="22"/>
      <c r="C33" s="22"/>
    </row>
  </sheetData>
  <pageMargins left="0.7" right="0.7" top="0.78740157499999996" bottom="0.78740157499999996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EB5FE-15C3-475D-B2C9-81F0AF26C281}">
  <dimension ref="A1:E1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51.42578125" customWidth="1"/>
    <col min="2" max="2" width="90.140625" style="4" customWidth="1"/>
    <col min="3" max="3" width="86.7109375" style="4" customWidth="1"/>
    <col min="4" max="5" width="11.5703125" style="4"/>
  </cols>
  <sheetData>
    <row r="1" spans="1:3" x14ac:dyDescent="0.25">
      <c r="A1" t="s">
        <v>2</v>
      </c>
      <c r="B1" s="2">
        <v>45292</v>
      </c>
    </row>
    <row r="2" spans="1:3" x14ac:dyDescent="0.25">
      <c r="A2" t="s">
        <v>3</v>
      </c>
      <c r="B2" s="2">
        <f>_xll.qlSettingsSetEvaluationDate(B1)</f>
        <v>45292</v>
      </c>
    </row>
    <row r="4" spans="1:3" s="4" customFormat="1" x14ac:dyDescent="0.25">
      <c r="A4" s="92" t="s">
        <v>105</v>
      </c>
      <c r="B4" s="104">
        <v>2</v>
      </c>
      <c r="C4" s="2"/>
    </row>
    <row r="5" spans="1:3" s="4" customFormat="1" x14ac:dyDescent="0.25">
      <c r="A5" s="93" t="s">
        <v>75</v>
      </c>
      <c r="B5" s="105" t="s">
        <v>78</v>
      </c>
    </row>
    <row r="6" spans="1:3" s="4" customFormat="1" x14ac:dyDescent="0.25">
      <c r="A6" s="93" t="s">
        <v>76</v>
      </c>
      <c r="B6" s="105" t="s">
        <v>79</v>
      </c>
    </row>
    <row r="7" spans="1:3" s="4" customFormat="1" x14ac:dyDescent="0.25">
      <c r="A7" s="93" t="s">
        <v>31</v>
      </c>
      <c r="B7" s="106" t="s">
        <v>52</v>
      </c>
      <c r="C7" s="2"/>
    </row>
    <row r="8" spans="1:3" s="4" customFormat="1" x14ac:dyDescent="0.25">
      <c r="A8" s="93" t="s">
        <v>73</v>
      </c>
      <c r="B8" s="106" t="s">
        <v>17</v>
      </c>
      <c r="C8" s="2"/>
    </row>
    <row r="9" spans="1:3" s="4" customFormat="1" x14ac:dyDescent="0.25">
      <c r="A9" s="93" t="s">
        <v>12</v>
      </c>
      <c r="B9" s="106" t="s">
        <v>81</v>
      </c>
    </row>
    <row r="10" spans="1:3" s="4" customFormat="1" x14ac:dyDescent="0.25">
      <c r="A10" s="93" t="s">
        <v>106</v>
      </c>
      <c r="B10" s="106" t="b">
        <v>0</v>
      </c>
    </row>
    <row r="11" spans="1:3" s="4" customFormat="1" x14ac:dyDescent="0.25">
      <c r="A11" s="92" t="s">
        <v>18</v>
      </c>
      <c r="B11" s="28">
        <v>45292</v>
      </c>
      <c r="C11" s="11"/>
    </row>
    <row r="12" spans="1:3" s="4" customFormat="1" x14ac:dyDescent="0.25">
      <c r="A12" s="93" t="s">
        <v>18</v>
      </c>
      <c r="B12" s="29">
        <v>45658</v>
      </c>
      <c r="C12" s="11"/>
    </row>
    <row r="13" spans="1:3" s="4" customFormat="1" x14ac:dyDescent="0.25">
      <c r="A13" s="98" t="s">
        <v>18</v>
      </c>
      <c r="B13" s="30">
        <v>46023</v>
      </c>
      <c r="C13" s="11"/>
    </row>
    <row r="14" spans="1:3" s="4" customFormat="1" x14ac:dyDescent="0.25">
      <c r="A14" s="92" t="s">
        <v>107</v>
      </c>
      <c r="B14" s="31">
        <v>0.02</v>
      </c>
    </row>
    <row r="15" spans="1:3" s="4" customFormat="1" x14ac:dyDescent="0.25">
      <c r="A15" s="93" t="s">
        <v>107</v>
      </c>
      <c r="B15" s="32">
        <v>2.5000000000000001E-2</v>
      </c>
    </row>
    <row r="16" spans="1:3" s="4" customFormat="1" x14ac:dyDescent="0.25">
      <c r="A16" s="98" t="s">
        <v>107</v>
      </c>
      <c r="B16" s="33">
        <v>0.03</v>
      </c>
    </row>
    <row r="17" spans="1:2" s="4" customFormat="1" x14ac:dyDescent="0.25">
      <c r="A17" s="93" t="s">
        <v>108</v>
      </c>
      <c r="B17" s="105">
        <v>0.01</v>
      </c>
    </row>
    <row r="18" spans="1:2" s="4" customFormat="1" x14ac:dyDescent="0.25">
      <c r="A18" s="93" t="s">
        <v>109</v>
      </c>
      <c r="B18" s="57">
        <v>0.1</v>
      </c>
    </row>
    <row r="19" spans="1:2" s="4" customFormat="1" x14ac:dyDescent="0.25">
      <c r="A19" s="72" t="s">
        <v>110</v>
      </c>
      <c r="B19" s="48" t="str">
        <f>_xll.qlInterpolatedYoYInflationOptionletVolatilityCurve(B4,B5,B6,B7,B8,B9,B10,B11:B13,B14:B16,B17,B18)</f>
        <v>欣[test_inflation.xlsx]InterpolatedYoYOptionletVolatil!R19C2YoYOptionletVolatilitySurfaceHandle,A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78813-1B07-4702-933E-12331FF5949E}">
  <dimension ref="A1:J8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56.28515625" customWidth="1"/>
    <col min="2" max="2" width="44.85546875" style="4" customWidth="1"/>
    <col min="3" max="3" width="7.42578125" style="4" customWidth="1"/>
    <col min="4" max="4" width="7.5703125" style="4" customWidth="1"/>
    <col min="5" max="5" width="11.5703125" style="4"/>
    <col min="6" max="6" width="22.42578125" customWidth="1"/>
  </cols>
  <sheetData>
    <row r="1" spans="1:10" x14ac:dyDescent="0.25">
      <c r="A1" s="49" t="s">
        <v>2</v>
      </c>
      <c r="B1" s="66">
        <v>45292</v>
      </c>
      <c r="C1" s="19"/>
      <c r="D1" s="19"/>
      <c r="E1" s="129"/>
      <c r="F1" s="153"/>
      <c r="G1" s="3"/>
      <c r="H1" s="3"/>
      <c r="I1" s="3"/>
      <c r="J1" s="3"/>
    </row>
    <row r="2" spans="1:10" x14ac:dyDescent="0.25">
      <c r="A2" s="54" t="s">
        <v>3</v>
      </c>
      <c r="B2" s="52">
        <f>_xll.qlSettingsSetEvaluationDate(B1)</f>
        <v>45292</v>
      </c>
      <c r="C2" s="22"/>
      <c r="D2" s="22"/>
      <c r="E2" s="90"/>
      <c r="F2" s="154"/>
      <c r="G2" s="3"/>
      <c r="H2" s="3"/>
      <c r="I2" s="3"/>
      <c r="J2" s="3"/>
    </row>
    <row r="3" spans="1:10" x14ac:dyDescent="0.25">
      <c r="A3" s="54"/>
      <c r="B3" s="22"/>
      <c r="C3" s="22"/>
      <c r="D3" s="22"/>
      <c r="E3" s="22"/>
      <c r="F3" s="23"/>
    </row>
    <row r="4" spans="1:10" x14ac:dyDescent="0.25">
      <c r="A4" s="54" t="s">
        <v>95</v>
      </c>
      <c r="B4" s="22">
        <v>2</v>
      </c>
      <c r="C4" s="22"/>
      <c r="D4" s="22"/>
      <c r="E4" s="22"/>
      <c r="F4" s="23"/>
    </row>
    <row r="5" spans="1:10" x14ac:dyDescent="0.25">
      <c r="A5" s="54" t="s">
        <v>189</v>
      </c>
      <c r="B5" s="22" t="s">
        <v>17</v>
      </c>
      <c r="C5" s="22"/>
      <c r="D5" s="22"/>
      <c r="E5" s="22"/>
      <c r="F5" s="23"/>
    </row>
    <row r="6" spans="1:10" x14ac:dyDescent="0.25">
      <c r="A6" s="54" t="s">
        <v>190</v>
      </c>
      <c r="B6" s="22" t="str">
        <f>_xll.qlYYEUHICP(,B2)</f>
        <v>欣[test_inflation.xlsx]YoYInflationCapFloorTermPriceSu!R6C2YYEUHICP,A</v>
      </c>
      <c r="C6" s="22"/>
      <c r="D6" s="22"/>
      <c r="E6" s="22"/>
      <c r="F6" s="23"/>
    </row>
    <row r="7" spans="1:10" x14ac:dyDescent="0.25">
      <c r="A7" s="54" t="s">
        <v>96</v>
      </c>
      <c r="B7" s="22" t="s">
        <v>80</v>
      </c>
      <c r="C7" s="22"/>
      <c r="D7" s="22"/>
      <c r="E7" s="22"/>
      <c r="F7" s="23"/>
    </row>
    <row r="8" spans="1:10" x14ac:dyDescent="0.25">
      <c r="A8" s="54" t="s">
        <v>191</v>
      </c>
      <c r="B8" s="22" t="str">
        <f>_xll.qlFlatForward(B2,0.03,"actual365fixed",,,B6)</f>
        <v>欣[test_inflation.xlsx]YoYInflationCapFloorTermPriceSu!R8C2YieldTermStructureHandle,A</v>
      </c>
      <c r="C8" s="22"/>
      <c r="D8" s="22"/>
      <c r="E8" s="22"/>
      <c r="F8" s="23"/>
    </row>
    <row r="9" spans="1:10" x14ac:dyDescent="0.25">
      <c r="A9" s="54" t="s">
        <v>31</v>
      </c>
      <c r="B9" s="22" t="s">
        <v>52</v>
      </c>
      <c r="C9" s="22"/>
      <c r="D9" s="22"/>
      <c r="E9" s="22"/>
      <c r="F9" s="23"/>
    </row>
    <row r="10" spans="1:10" x14ac:dyDescent="0.25">
      <c r="A10" s="54" t="s">
        <v>75</v>
      </c>
      <c r="B10" s="22" t="s">
        <v>78</v>
      </c>
      <c r="C10" s="22"/>
      <c r="D10" s="22"/>
      <c r="E10" s="22"/>
      <c r="F10" s="23"/>
    </row>
    <row r="11" spans="1:10" x14ac:dyDescent="0.25">
      <c r="A11" s="54" t="s">
        <v>192</v>
      </c>
      <c r="B11" s="22" t="s">
        <v>79</v>
      </c>
      <c r="C11" s="22"/>
      <c r="D11" s="22"/>
      <c r="E11" s="22"/>
      <c r="F11" s="23"/>
      <c r="G11" s="51"/>
      <c r="H11" s="51"/>
      <c r="I11" s="51"/>
      <c r="J11" s="51"/>
    </row>
    <row r="12" spans="1:10" x14ac:dyDescent="0.25">
      <c r="A12" s="49" t="s">
        <v>193</v>
      </c>
      <c r="B12" s="19">
        <v>0.02</v>
      </c>
      <c r="C12" s="19"/>
      <c r="D12" s="19"/>
      <c r="E12" s="19"/>
      <c r="F12" s="20"/>
      <c r="G12" s="51"/>
      <c r="H12" s="51"/>
      <c r="I12" s="51"/>
      <c r="J12" s="51"/>
    </row>
    <row r="13" spans="1:10" x14ac:dyDescent="0.25">
      <c r="A13" s="54" t="s">
        <v>193</v>
      </c>
      <c r="B13" s="22">
        <v>0.03</v>
      </c>
      <c r="C13" s="22"/>
      <c r="D13" s="22"/>
      <c r="E13" s="22"/>
      <c r="F13" s="23"/>
      <c r="G13" s="51"/>
      <c r="H13" s="51"/>
      <c r="I13" s="51"/>
      <c r="J13" s="51"/>
    </row>
    <row r="14" spans="1:10" x14ac:dyDescent="0.25">
      <c r="A14" s="54" t="s">
        <v>193</v>
      </c>
      <c r="B14" s="22">
        <v>0.04</v>
      </c>
      <c r="C14" s="22"/>
      <c r="D14" s="22"/>
      <c r="E14" s="22"/>
      <c r="F14" s="23"/>
      <c r="G14" s="51"/>
      <c r="H14" s="51"/>
      <c r="I14" s="51"/>
      <c r="J14" s="51"/>
    </row>
    <row r="15" spans="1:10" x14ac:dyDescent="0.25">
      <c r="A15" s="126" t="s">
        <v>193</v>
      </c>
      <c r="B15" s="25">
        <v>0.05</v>
      </c>
      <c r="C15" s="25"/>
      <c r="D15" s="25"/>
      <c r="E15" s="25"/>
      <c r="F15" s="26"/>
      <c r="G15" s="51"/>
      <c r="H15" s="51"/>
      <c r="I15" s="51"/>
      <c r="J15" s="51"/>
    </row>
    <row r="16" spans="1:10" x14ac:dyDescent="0.25">
      <c r="A16" s="49" t="s">
        <v>194</v>
      </c>
      <c r="B16" s="19">
        <v>0.02</v>
      </c>
      <c r="C16" s="19"/>
      <c r="D16" s="19"/>
      <c r="E16" s="19"/>
      <c r="F16" s="20"/>
      <c r="G16" s="51"/>
      <c r="H16" s="51"/>
      <c r="I16" s="51"/>
      <c r="J16" s="51"/>
    </row>
    <row r="17" spans="1:10" x14ac:dyDescent="0.25">
      <c r="A17" s="54" t="s">
        <v>194</v>
      </c>
      <c r="B17" s="22">
        <v>0.03</v>
      </c>
      <c r="C17" s="22"/>
      <c r="D17" s="22"/>
      <c r="E17" s="22"/>
      <c r="F17" s="23"/>
      <c r="G17" s="51"/>
      <c r="H17" s="51"/>
      <c r="I17" s="51"/>
      <c r="J17" s="51"/>
    </row>
    <row r="18" spans="1:10" x14ac:dyDescent="0.25">
      <c r="A18" s="54" t="s">
        <v>194</v>
      </c>
      <c r="B18" s="22">
        <v>0.04</v>
      </c>
      <c r="C18" s="22"/>
      <c r="D18" s="22"/>
      <c r="E18" s="22"/>
      <c r="F18" s="23"/>
      <c r="G18" s="51"/>
      <c r="H18" s="51"/>
      <c r="I18" s="51"/>
      <c r="J18" s="51"/>
    </row>
    <row r="19" spans="1:10" x14ac:dyDescent="0.25">
      <c r="A19" s="126" t="s">
        <v>194</v>
      </c>
      <c r="B19" s="25">
        <v>0.05</v>
      </c>
      <c r="C19" s="25"/>
      <c r="D19" s="25"/>
      <c r="E19" s="25"/>
      <c r="F19" s="26"/>
      <c r="G19" s="51"/>
      <c r="H19" s="51"/>
      <c r="I19" s="51"/>
      <c r="J19" s="51"/>
    </row>
    <row r="20" spans="1:10" x14ac:dyDescent="0.25">
      <c r="A20" s="49" t="s">
        <v>195</v>
      </c>
      <c r="B20" s="19" t="s">
        <v>167</v>
      </c>
      <c r="C20" s="19"/>
      <c r="D20" s="19"/>
      <c r="E20" s="19"/>
      <c r="F20" s="20"/>
      <c r="G20" s="51"/>
      <c r="H20" s="51"/>
      <c r="I20" s="51"/>
      <c r="J20" s="51"/>
    </row>
    <row r="21" spans="1:10" x14ac:dyDescent="0.25">
      <c r="A21" s="54" t="s">
        <v>195</v>
      </c>
      <c r="B21" s="22" t="s">
        <v>199</v>
      </c>
      <c r="C21" s="22"/>
      <c r="D21" s="22"/>
      <c r="E21" s="22"/>
      <c r="F21" s="23"/>
      <c r="G21" s="51"/>
      <c r="H21" s="51"/>
      <c r="I21" s="51"/>
      <c r="J21" s="51"/>
    </row>
    <row r="22" spans="1:10" x14ac:dyDescent="0.25">
      <c r="A22" s="54" t="s">
        <v>195</v>
      </c>
      <c r="B22" s="22" t="s">
        <v>200</v>
      </c>
      <c r="C22" s="22"/>
      <c r="D22" s="22"/>
      <c r="E22" s="22"/>
      <c r="F22" s="23"/>
      <c r="G22" s="51"/>
      <c r="H22" s="51"/>
      <c r="I22" s="51"/>
      <c r="J22" s="51"/>
    </row>
    <row r="23" spans="1:10" x14ac:dyDescent="0.25">
      <c r="A23" s="126" t="s">
        <v>195</v>
      </c>
      <c r="B23" s="25" t="s">
        <v>201</v>
      </c>
      <c r="C23" s="25"/>
      <c r="D23" s="25"/>
      <c r="E23" s="25"/>
      <c r="F23" s="26"/>
      <c r="G23" s="51"/>
      <c r="H23" s="51"/>
      <c r="I23" s="51"/>
      <c r="J23" s="51"/>
    </row>
    <row r="24" spans="1:10" x14ac:dyDescent="0.25">
      <c r="A24" s="49" t="s">
        <v>196</v>
      </c>
      <c r="B24" s="19"/>
      <c r="C24" s="151">
        <v>0.02</v>
      </c>
      <c r="D24" s="151">
        <v>0.03</v>
      </c>
      <c r="E24" s="151">
        <v>0.04</v>
      </c>
      <c r="F24" s="152">
        <v>0.05</v>
      </c>
      <c r="G24" s="51"/>
      <c r="H24" s="51"/>
      <c r="I24" s="51"/>
      <c r="J24" s="51"/>
    </row>
    <row r="25" spans="1:10" x14ac:dyDescent="0.25">
      <c r="A25" s="54" t="s">
        <v>196</v>
      </c>
      <c r="B25" s="22" t="s">
        <v>167</v>
      </c>
      <c r="C25" s="21">
        <v>1.2E-2</v>
      </c>
      <c r="D25" s="21">
        <v>1.7999999999999999E-2</v>
      </c>
      <c r="E25" s="22">
        <v>2.5000000000000001E-2</v>
      </c>
      <c r="F25" s="23">
        <v>3.5000000000000003E-2</v>
      </c>
      <c r="G25" s="51"/>
      <c r="H25" s="51"/>
      <c r="I25" s="51"/>
      <c r="J25" s="51"/>
    </row>
    <row r="26" spans="1:10" x14ac:dyDescent="0.25">
      <c r="A26" s="54" t="s">
        <v>196</v>
      </c>
      <c r="B26" s="22" t="s">
        <v>199</v>
      </c>
      <c r="C26" s="21">
        <v>0.01</v>
      </c>
      <c r="D26" s="21">
        <v>1.4999999999999999E-2</v>
      </c>
      <c r="E26" s="22">
        <v>0.02</v>
      </c>
      <c r="F26" s="23">
        <v>0.03</v>
      </c>
      <c r="G26" s="51"/>
      <c r="H26" s="51"/>
      <c r="I26" s="51"/>
      <c r="J26" s="51"/>
    </row>
    <row r="27" spans="1:10" x14ac:dyDescent="0.25">
      <c r="A27" s="54" t="s">
        <v>196</v>
      </c>
      <c r="B27" s="22" t="s">
        <v>200</v>
      </c>
      <c r="C27" s="21">
        <v>8.0000000000000002E-3</v>
      </c>
      <c r="D27" s="21">
        <v>1.2E-2</v>
      </c>
      <c r="E27" s="22">
        <v>1.4999999999999999E-2</v>
      </c>
      <c r="F27" s="23">
        <v>2.5000000000000001E-2</v>
      </c>
      <c r="G27" s="51"/>
      <c r="H27" s="51"/>
      <c r="I27" s="51"/>
      <c r="J27" s="51"/>
    </row>
    <row r="28" spans="1:10" x14ac:dyDescent="0.25">
      <c r="A28" s="126" t="s">
        <v>196</v>
      </c>
      <c r="B28" s="25" t="s">
        <v>201</v>
      </c>
      <c r="C28" s="24">
        <v>6.0000000000000001E-3</v>
      </c>
      <c r="D28" s="24">
        <v>8.9999999999999993E-3</v>
      </c>
      <c r="E28" s="25">
        <v>1.2E-2</v>
      </c>
      <c r="F28" s="26">
        <v>0.02</v>
      </c>
      <c r="G28" s="51"/>
      <c r="H28" s="51"/>
      <c r="I28" s="51"/>
      <c r="J28" s="51"/>
    </row>
    <row r="29" spans="1:10" x14ac:dyDescent="0.25">
      <c r="A29" s="49" t="s">
        <v>197</v>
      </c>
      <c r="B29" s="19" t="s">
        <v>167</v>
      </c>
      <c r="C29" s="18">
        <v>5.0000000000000001E-3</v>
      </c>
      <c r="D29" s="18">
        <v>8.0000000000000002E-3</v>
      </c>
      <c r="E29" s="19">
        <v>1.2E-2</v>
      </c>
      <c r="F29" s="20">
        <v>1.7999999999999999E-2</v>
      </c>
      <c r="G29" s="51"/>
      <c r="H29" s="51"/>
      <c r="I29" s="51"/>
      <c r="J29" s="51"/>
    </row>
    <row r="30" spans="1:10" x14ac:dyDescent="0.25">
      <c r="A30" s="54" t="s">
        <v>197</v>
      </c>
      <c r="B30" s="22" t="s">
        <v>199</v>
      </c>
      <c r="C30" s="21">
        <v>7.0000000000000001E-3</v>
      </c>
      <c r="D30" s="21">
        <v>0.01</v>
      </c>
      <c r="E30" s="22">
        <v>1.4999999999999999E-2</v>
      </c>
      <c r="F30" s="23">
        <v>2.1999999999999999E-2</v>
      </c>
      <c r="G30" s="51"/>
      <c r="H30" s="51"/>
      <c r="I30" s="51"/>
      <c r="J30" s="51"/>
    </row>
    <row r="31" spans="1:10" x14ac:dyDescent="0.25">
      <c r="A31" s="54" t="s">
        <v>197</v>
      </c>
      <c r="B31" s="22" t="s">
        <v>200</v>
      </c>
      <c r="C31" s="21">
        <v>8.9999999999999993E-3</v>
      </c>
      <c r="D31" s="21">
        <v>1.2999999999999999E-2</v>
      </c>
      <c r="E31" s="22">
        <v>1.7999999999999999E-2</v>
      </c>
      <c r="F31" s="23">
        <v>2.5000000000000001E-2</v>
      </c>
      <c r="G31" s="51"/>
      <c r="H31" s="51"/>
      <c r="I31" s="51"/>
      <c r="J31" s="51"/>
    </row>
    <row r="32" spans="1:10" x14ac:dyDescent="0.25">
      <c r="A32" s="126" t="s">
        <v>197</v>
      </c>
      <c r="B32" s="25" t="s">
        <v>201</v>
      </c>
      <c r="C32" s="24">
        <v>1.2E-2</v>
      </c>
      <c r="D32" s="24">
        <v>1.6E-2</v>
      </c>
      <c r="E32" s="25">
        <v>0.02</v>
      </c>
      <c r="F32" s="26">
        <v>0.03</v>
      </c>
      <c r="G32" s="51"/>
      <c r="H32" s="51"/>
      <c r="I32" s="51"/>
      <c r="J32" s="51"/>
    </row>
    <row r="33" spans="1:10" x14ac:dyDescent="0.25">
      <c r="A33" s="47" t="s">
        <v>198</v>
      </c>
      <c r="B33" s="25" t="str">
        <f>_xll.qlYoYInflationCapFloorTermPriceSurface(B4,B5,B6,B7,B8,B9,B10,B11,B12:B15,B16:B19,B20:B23,C25:F28,C29:F32,B8)</f>
        <v>欣[test_inflation.xlsx]YoYInflationCapFloorTermPriceSu!R33C2YoYInflationCapFloorTermPriceSurface,A</v>
      </c>
      <c r="C33" s="25"/>
      <c r="D33" s="25"/>
      <c r="E33" s="25"/>
      <c r="F33" s="26"/>
      <c r="G33" s="51"/>
      <c r="H33" s="51"/>
      <c r="I33" s="51"/>
      <c r="J33" s="51"/>
    </row>
    <row r="34" spans="1:10" x14ac:dyDescent="0.25">
      <c r="A34" s="73" t="s">
        <v>202</v>
      </c>
      <c r="B34" s="74">
        <f>_xll.qlYoYCapFloorTermPriceSurfaceAtmYoYSwapTimeRates(B33,B33)</f>
        <v>1.0027397260273974</v>
      </c>
      <c r="C34" s="74"/>
      <c r="D34" s="74"/>
      <c r="E34" s="74"/>
      <c r="F34" s="155"/>
      <c r="G34" s="51"/>
      <c r="H34" s="51"/>
      <c r="I34" s="51"/>
      <c r="J34" s="51"/>
    </row>
    <row r="35" spans="1:10" x14ac:dyDescent="0.25">
      <c r="A35" s="108" t="s">
        <v>203</v>
      </c>
      <c r="B35" s="22" t="str">
        <f>_xll.qlYoYCapFloorTermPriceSurfaceAtmYoYSwapDateRates(B33,B33)</f>
        <v>欣[test_inflation.xlsx]YoYInflationCapFloorTermPriceSu!R35C2swig_runtime_data5.SwigPyObject,A</v>
      </c>
      <c r="C35" s="22"/>
      <c r="D35" s="22"/>
      <c r="E35" s="22"/>
      <c r="F35" s="23"/>
      <c r="G35" s="51"/>
      <c r="H35" s="51"/>
      <c r="I35" s="51"/>
      <c r="J35" s="51"/>
    </row>
    <row r="36" spans="1:10" x14ac:dyDescent="0.25">
      <c r="A36" s="73" t="s">
        <v>204</v>
      </c>
      <c r="B36" s="74" t="str">
        <f>_xll.qlYoYCapFloorTermPriceSurfaceYoYTS(B33,B33)</f>
        <v>欣[test_inflation.xlsx]YoYInflationCapFloorTermPriceSu!R36C2YoYInflationTermStructure,A</v>
      </c>
      <c r="C36" s="74"/>
      <c r="D36" s="74"/>
      <c r="E36" s="74"/>
      <c r="F36" s="155"/>
      <c r="G36" s="51"/>
      <c r="H36" s="51"/>
      <c r="I36" s="51"/>
      <c r="J36" s="51"/>
    </row>
    <row r="37" spans="1:10" x14ac:dyDescent="0.25">
      <c r="A37" s="59" t="s">
        <v>205</v>
      </c>
      <c r="B37" s="22" t="str">
        <f>_xll.qlYoYCapFloorTermPriceSurfaceYoYIndex(B33,B33)</f>
        <v>欣[test_inflation.xlsx]YoYInflationCapFloorTermPriceSu!R37C2YoYInflationIndex,A</v>
      </c>
      <c r="C37" s="22"/>
      <c r="D37" s="22"/>
      <c r="E37" s="22"/>
      <c r="F37" s="23"/>
    </row>
    <row r="38" spans="1:10" x14ac:dyDescent="0.25">
      <c r="A38" s="137" t="s">
        <v>206</v>
      </c>
      <c r="B38" s="74" t="str">
        <f>_xll.qlYoYCapFloorTermPriceSurfaceBusinessDayConvention(B33,B33)</f>
        <v>MODIFIEDFOLLOWING</v>
      </c>
      <c r="C38" s="74"/>
      <c r="D38" s="74"/>
      <c r="E38" s="74"/>
      <c r="F38" s="155"/>
    </row>
    <row r="39" spans="1:10" x14ac:dyDescent="0.25">
      <c r="A39" s="59" t="s">
        <v>207</v>
      </c>
      <c r="B39" s="22" t="str">
        <f>_xll.qlYoYCapFloorTermPriceSurfaceObservationLag(B33,B33)</f>
        <v>3M</v>
      </c>
      <c r="C39" s="22"/>
      <c r="D39" s="22"/>
      <c r="E39" s="22"/>
      <c r="F39" s="23"/>
    </row>
    <row r="40" spans="1:10" x14ac:dyDescent="0.25">
      <c r="A40" s="137" t="s">
        <v>208</v>
      </c>
      <c r="B40" s="74" t="str">
        <f>_xll.qlYoYCapFloorTermPriceSurfaceFrequency(B33,B33)</f>
        <v>MONTHLY</v>
      </c>
      <c r="C40" s="74"/>
      <c r="D40" s="74"/>
      <c r="E40" s="74"/>
      <c r="F40" s="155"/>
    </row>
    <row r="41" spans="1:10" x14ac:dyDescent="0.25">
      <c r="A41" s="59" t="s">
        <v>209</v>
      </c>
      <c r="B41" s="22">
        <f>_xll.qlYoYCapFloorTermPriceSurfaceFixingDays(B33,B33)</f>
        <v>2</v>
      </c>
      <c r="C41" s="22"/>
      <c r="D41" s="22"/>
      <c r="E41" s="22"/>
      <c r="F41" s="23"/>
    </row>
    <row r="42" spans="1:10" x14ac:dyDescent="0.25">
      <c r="A42" s="85" t="s">
        <v>14</v>
      </c>
      <c r="B42" s="66">
        <v>45658</v>
      </c>
      <c r="C42" s="19"/>
      <c r="D42" s="19"/>
      <c r="E42" s="19"/>
      <c r="F42" s="20"/>
    </row>
    <row r="43" spans="1:10" x14ac:dyDescent="0.25">
      <c r="A43" s="88" t="s">
        <v>211</v>
      </c>
      <c r="B43" s="53">
        <v>0.03</v>
      </c>
      <c r="C43" s="22"/>
      <c r="D43" s="22"/>
      <c r="E43" s="22"/>
      <c r="F43" s="23"/>
    </row>
    <row r="44" spans="1:10" x14ac:dyDescent="0.25">
      <c r="A44" s="47" t="s">
        <v>210</v>
      </c>
      <c r="B44" s="25">
        <f>_xll.qlYoYCapFloorTermPriceSurfaceCapPrice(B33,B42,B43,B33)</f>
        <v>9.9863021838453928E-3</v>
      </c>
      <c r="C44" s="25"/>
      <c r="D44" s="25"/>
      <c r="E44" s="25"/>
      <c r="F44" s="26"/>
    </row>
    <row r="45" spans="1:10" x14ac:dyDescent="0.25">
      <c r="A45" s="85" t="s">
        <v>212</v>
      </c>
      <c r="B45" s="66" t="s">
        <v>167</v>
      </c>
      <c r="C45" s="19"/>
      <c r="D45" s="19"/>
      <c r="E45" s="19"/>
      <c r="F45" s="20"/>
    </row>
    <row r="46" spans="1:10" x14ac:dyDescent="0.25">
      <c r="A46" s="88" t="s">
        <v>211</v>
      </c>
      <c r="B46" s="53">
        <v>0.03</v>
      </c>
      <c r="C46" s="22"/>
      <c r="D46" s="22"/>
      <c r="E46" s="22"/>
      <c r="F46" s="23"/>
    </row>
    <row r="47" spans="1:10" x14ac:dyDescent="0.25">
      <c r="A47" s="47" t="s">
        <v>213</v>
      </c>
      <c r="B47" s="24">
        <f>_xll.qlYoYCapFloorTermPriceSurfaceCapPrice2(B33,B45,B46,B33)</f>
        <v>0.01</v>
      </c>
      <c r="C47" s="25"/>
      <c r="D47" s="25"/>
      <c r="E47" s="25"/>
      <c r="F47" s="26"/>
    </row>
    <row r="48" spans="1:10" x14ac:dyDescent="0.25">
      <c r="A48" s="132" t="s">
        <v>14</v>
      </c>
      <c r="B48" s="119">
        <v>45658</v>
      </c>
      <c r="C48" s="90"/>
      <c r="D48" s="90"/>
      <c r="E48" s="90"/>
      <c r="F48" s="154"/>
    </row>
    <row r="49" spans="1:6" x14ac:dyDescent="0.25">
      <c r="A49" s="132" t="s">
        <v>211</v>
      </c>
      <c r="B49" s="118">
        <v>0.03</v>
      </c>
      <c r="C49" s="90"/>
      <c r="D49" s="90"/>
      <c r="E49" s="90"/>
      <c r="F49" s="154"/>
    </row>
    <row r="50" spans="1:6" x14ac:dyDescent="0.25">
      <c r="A50" s="157" t="s">
        <v>214</v>
      </c>
      <c r="B50" s="90">
        <f>_xll.qlYoYCapFloorTermPriceSurfaceFloorPrice(B33,B48,B49,B33)</f>
        <v>6.9933892528847574E-3</v>
      </c>
      <c r="C50" s="90"/>
      <c r="D50" s="90"/>
      <c r="E50" s="90"/>
      <c r="F50" s="154"/>
    </row>
    <row r="51" spans="1:6" x14ac:dyDescent="0.25">
      <c r="A51" s="85" t="s">
        <v>212</v>
      </c>
      <c r="B51" s="66" t="s">
        <v>167</v>
      </c>
      <c r="C51" s="19"/>
      <c r="D51" s="19"/>
      <c r="E51" s="19"/>
      <c r="F51" s="20"/>
    </row>
    <row r="52" spans="1:6" x14ac:dyDescent="0.25">
      <c r="A52" s="88" t="s">
        <v>211</v>
      </c>
      <c r="B52" s="53">
        <v>0.03</v>
      </c>
      <c r="C52" s="22"/>
      <c r="D52" s="22"/>
      <c r="E52" s="22"/>
      <c r="F52" s="23"/>
    </row>
    <row r="53" spans="1:6" x14ac:dyDescent="0.25">
      <c r="A53" s="47" t="s">
        <v>215</v>
      </c>
      <c r="B53" s="25">
        <f>_xll.qlYoYCapFloorTermPriceSurfaceFloorPrice2(B33,B51,B52,B33)</f>
        <v>7.0000000000000001E-3</v>
      </c>
      <c r="C53" s="25"/>
      <c r="D53" s="25"/>
      <c r="E53" s="25"/>
      <c r="F53" s="26"/>
    </row>
    <row r="54" spans="1:6" x14ac:dyDescent="0.25">
      <c r="A54" s="88" t="s">
        <v>14</v>
      </c>
      <c r="B54" s="52">
        <v>45658</v>
      </c>
      <c r="C54" s="22"/>
      <c r="D54" s="22"/>
      <c r="E54" s="22"/>
      <c r="F54" s="23"/>
    </row>
    <row r="55" spans="1:6" x14ac:dyDescent="0.25">
      <c r="A55" s="88" t="s">
        <v>211</v>
      </c>
      <c r="B55" s="53">
        <v>0.03</v>
      </c>
      <c r="C55" s="22"/>
      <c r="D55" s="22"/>
      <c r="E55" s="22"/>
      <c r="F55" s="23"/>
    </row>
    <row r="56" spans="1:6" x14ac:dyDescent="0.25">
      <c r="A56" s="59" t="s">
        <v>216</v>
      </c>
      <c r="B56" s="22">
        <f>_xll.qlYoYCapFloorTermPriceSurfacePrice(B33,B54,B55,B33)</f>
        <v>6.9933892528847574E-3</v>
      </c>
      <c r="C56" s="22"/>
      <c r="D56" s="22"/>
      <c r="E56" s="22"/>
      <c r="F56" s="23"/>
    </row>
    <row r="57" spans="1:6" x14ac:dyDescent="0.25">
      <c r="A57" s="85" t="s">
        <v>212</v>
      </c>
      <c r="B57" s="66" t="s">
        <v>167</v>
      </c>
      <c r="C57" s="19"/>
      <c r="D57" s="19"/>
      <c r="E57" s="19"/>
      <c r="F57" s="20"/>
    </row>
    <row r="58" spans="1:6" x14ac:dyDescent="0.25">
      <c r="A58" s="88" t="s">
        <v>211</v>
      </c>
      <c r="B58" s="53">
        <v>0.03</v>
      </c>
      <c r="C58" s="22"/>
      <c r="D58" s="22"/>
      <c r="E58" s="22"/>
      <c r="F58" s="23"/>
    </row>
    <row r="59" spans="1:6" x14ac:dyDescent="0.25">
      <c r="A59" s="47" t="s">
        <v>217</v>
      </c>
      <c r="B59" s="25">
        <f>_xll.qlYoYCapFloorTermPriceSurfacePrice2(B33,B57,B58,B33)</f>
        <v>7.0000000000000001E-3</v>
      </c>
      <c r="C59" s="25"/>
      <c r="D59" s="25"/>
      <c r="E59" s="25"/>
      <c r="F59" s="26"/>
    </row>
    <row r="60" spans="1:6" x14ac:dyDescent="0.25">
      <c r="A60" s="88" t="s">
        <v>14</v>
      </c>
      <c r="B60" s="52">
        <v>45658</v>
      </c>
      <c r="C60" s="22"/>
      <c r="D60" s="22"/>
      <c r="E60" s="22"/>
      <c r="F60" s="23"/>
    </row>
    <row r="61" spans="1:6" x14ac:dyDescent="0.25">
      <c r="A61" s="88" t="s">
        <v>53</v>
      </c>
      <c r="B61" s="22" t="b">
        <v>1</v>
      </c>
      <c r="C61" s="22"/>
      <c r="D61" s="22"/>
      <c r="E61" s="22"/>
      <c r="F61" s="23"/>
    </row>
    <row r="62" spans="1:6" x14ac:dyDescent="0.25">
      <c r="A62" s="59" t="s">
        <v>218</v>
      </c>
      <c r="B62" s="22">
        <f>_xll.qlYoYCapFloorTermPriceSurfaceAtmYoYSwapRate(B33,B60,B61,B33)</f>
        <v>3.4999999843661173E-2</v>
      </c>
      <c r="C62" s="22"/>
      <c r="D62" s="22"/>
      <c r="E62" s="22"/>
      <c r="F62" s="23"/>
    </row>
    <row r="63" spans="1:6" x14ac:dyDescent="0.25">
      <c r="A63" s="85" t="s">
        <v>212</v>
      </c>
      <c r="B63" s="19" t="s">
        <v>167</v>
      </c>
      <c r="C63" s="19"/>
      <c r="D63" s="19"/>
      <c r="E63" s="19"/>
      <c r="F63" s="20"/>
    </row>
    <row r="64" spans="1:6" x14ac:dyDescent="0.25">
      <c r="A64" s="88" t="s">
        <v>53</v>
      </c>
      <c r="B64" s="22" t="b">
        <v>1</v>
      </c>
      <c r="C64" s="22"/>
      <c r="D64" s="22"/>
      <c r="E64" s="22"/>
      <c r="F64" s="23"/>
    </row>
    <row r="65" spans="1:6" x14ac:dyDescent="0.25">
      <c r="A65" s="72" t="s">
        <v>219</v>
      </c>
      <c r="B65" s="25">
        <f>_xll.qlYoYCapFloorTermPriceSurfaceAtmYoYSwapRate2(B33,B63,B64,B33)</f>
        <v>3.5000000000000003E-2</v>
      </c>
      <c r="C65" s="25"/>
      <c r="D65" s="25"/>
      <c r="E65" s="25"/>
      <c r="F65" s="26"/>
    </row>
    <row r="66" spans="1:6" x14ac:dyDescent="0.25">
      <c r="A66" s="88" t="s">
        <v>14</v>
      </c>
      <c r="B66" s="52">
        <v>45658</v>
      </c>
      <c r="C66" s="22"/>
      <c r="D66" s="22"/>
      <c r="E66" s="22"/>
      <c r="F66" s="23"/>
    </row>
    <row r="67" spans="1:6" x14ac:dyDescent="0.25">
      <c r="A67" s="88" t="s">
        <v>54</v>
      </c>
      <c r="B67" s="22" t="s">
        <v>17</v>
      </c>
      <c r="C67" s="22"/>
      <c r="D67" s="22"/>
      <c r="E67" s="22"/>
      <c r="F67" s="23"/>
    </row>
    <row r="68" spans="1:6" x14ac:dyDescent="0.25">
      <c r="A68" s="88" t="s">
        <v>53</v>
      </c>
      <c r="B68" s="22" t="b">
        <v>1</v>
      </c>
      <c r="C68" s="22"/>
      <c r="D68" s="22"/>
      <c r="E68" s="22"/>
      <c r="F68" s="23"/>
    </row>
    <row r="69" spans="1:6" x14ac:dyDescent="0.25">
      <c r="A69" s="59" t="s">
        <v>220</v>
      </c>
      <c r="B69" s="22">
        <f>_xll.qlYoYCapFloorTermPriceSurfaceAtmYoYRate(B33,B66,B67,B68,B33)</f>
        <v>3.4999999843661166E-2</v>
      </c>
      <c r="C69" s="22"/>
      <c r="D69" s="22"/>
      <c r="E69" s="22"/>
      <c r="F69" s="23"/>
    </row>
    <row r="70" spans="1:6" x14ac:dyDescent="0.25">
      <c r="A70" s="85" t="s">
        <v>212</v>
      </c>
      <c r="B70" s="19" t="s">
        <v>167</v>
      </c>
      <c r="C70" s="19"/>
      <c r="D70" s="19"/>
      <c r="E70" s="19"/>
      <c r="F70" s="20"/>
    </row>
    <row r="71" spans="1:6" x14ac:dyDescent="0.25">
      <c r="A71" s="88" t="s">
        <v>54</v>
      </c>
      <c r="B71" s="22" t="s">
        <v>17</v>
      </c>
      <c r="C71" s="22"/>
      <c r="D71" s="22"/>
      <c r="E71" s="22"/>
      <c r="F71" s="23"/>
    </row>
    <row r="72" spans="1:6" x14ac:dyDescent="0.25">
      <c r="A72" s="88" t="s">
        <v>53</v>
      </c>
      <c r="B72" s="22" t="b">
        <v>1</v>
      </c>
      <c r="C72" s="22"/>
      <c r="D72" s="22"/>
      <c r="E72" s="22"/>
      <c r="F72" s="23"/>
    </row>
    <row r="73" spans="1:6" x14ac:dyDescent="0.25">
      <c r="A73" s="47" t="s">
        <v>221</v>
      </c>
      <c r="B73" s="25">
        <f>_xll.qlYoYCapFloorTermPriceSurfaceAtmYoYRate2(B33,B70,B71,B72,B33)</f>
        <v>3.4999999843661166E-2</v>
      </c>
      <c r="C73" s="25"/>
      <c r="D73" s="25"/>
      <c r="E73" s="25"/>
      <c r="F73" s="26"/>
    </row>
    <row r="74" spans="1:6" x14ac:dyDescent="0.25">
      <c r="A74" s="59" t="s">
        <v>222</v>
      </c>
      <c r="B74" s="52">
        <f>_xll.qlYoYCapFloorTermPriceSurfaceBaseDate(B33,B33)</f>
        <v>45200</v>
      </c>
      <c r="C74" s="22"/>
      <c r="D74" s="22"/>
      <c r="E74" s="22"/>
      <c r="F74" s="23"/>
    </row>
    <row r="75" spans="1:6" x14ac:dyDescent="0.25">
      <c r="A75" s="242" t="s">
        <v>223</v>
      </c>
      <c r="B75" s="19">
        <f>_xll.qlYoYCapFloorTermPriceSurfaceStrikes(B33,B33)</f>
        <v>0.02</v>
      </c>
      <c r="C75" s="19"/>
      <c r="D75" s="19"/>
      <c r="E75" s="19"/>
      <c r="F75" s="20"/>
    </row>
    <row r="76" spans="1:6" x14ac:dyDescent="0.25">
      <c r="A76" s="98"/>
      <c r="B76" s="245" t="s">
        <v>468</v>
      </c>
      <c r="C76" s="25"/>
      <c r="D76" s="25"/>
      <c r="E76" s="25"/>
      <c r="F76" s="26"/>
    </row>
    <row r="77" spans="1:6" x14ac:dyDescent="0.25">
      <c r="A77" s="108" t="s">
        <v>224</v>
      </c>
      <c r="B77" s="22">
        <f>_xll.qlYoYCapFloorTermPriceSurfaceCapStrikes(B33,B33)</f>
        <v>0.02</v>
      </c>
      <c r="C77" s="22"/>
      <c r="D77" s="22"/>
      <c r="E77" s="22"/>
      <c r="F77" s="23"/>
    </row>
    <row r="78" spans="1:6" x14ac:dyDescent="0.25">
      <c r="A78" s="93"/>
      <c r="B78" s="239" t="s">
        <v>469</v>
      </c>
      <c r="C78" s="22"/>
      <c r="D78" s="22"/>
      <c r="E78" s="22"/>
      <c r="F78" s="23"/>
    </row>
    <row r="79" spans="1:6" x14ac:dyDescent="0.25">
      <c r="A79" s="242" t="s">
        <v>225</v>
      </c>
      <c r="B79" s="19">
        <f>_xll.qlYoYCapFloorTermPriceSurfaceFloorStrikes(B33,B33)</f>
        <v>0.02</v>
      </c>
      <c r="C79" s="19"/>
      <c r="D79" s="19"/>
      <c r="E79" s="19"/>
      <c r="F79" s="20"/>
    </row>
    <row r="80" spans="1:6" x14ac:dyDescent="0.25">
      <c r="A80" s="93"/>
      <c r="B80" s="239" t="s">
        <v>470</v>
      </c>
      <c r="C80" s="22"/>
      <c r="D80" s="22"/>
      <c r="E80" s="22"/>
      <c r="F80" s="23"/>
    </row>
    <row r="81" spans="1:6" x14ac:dyDescent="0.25">
      <c r="A81" s="242" t="s">
        <v>226</v>
      </c>
      <c r="B81" s="19" t="str">
        <f>_xll.qlYoYCapFloorTermPriceSurfaceMaturities(B33,B33)</f>
        <v>1Y</v>
      </c>
      <c r="C81" s="19"/>
      <c r="D81" s="19"/>
      <c r="E81" s="19"/>
      <c r="F81" s="20"/>
    </row>
    <row r="82" spans="1:6" x14ac:dyDescent="0.25">
      <c r="A82" s="98"/>
      <c r="B82" s="239" t="s">
        <v>471</v>
      </c>
      <c r="C82" s="25"/>
      <c r="D82" s="25"/>
      <c r="E82" s="25"/>
      <c r="F82" s="26"/>
    </row>
    <row r="83" spans="1:6" x14ac:dyDescent="0.25">
      <c r="A83" s="73" t="s">
        <v>227</v>
      </c>
      <c r="B83" s="74">
        <f>_xll.qlYoYCapFloorTermPriceSurfaceMinStrike(B33,B33)</f>
        <v>0.02</v>
      </c>
      <c r="C83" s="74"/>
      <c r="D83" s="74"/>
      <c r="E83" s="74"/>
      <c r="F83" s="155"/>
    </row>
    <row r="84" spans="1:6" x14ac:dyDescent="0.25">
      <c r="A84" s="59" t="s">
        <v>228</v>
      </c>
      <c r="B84" s="22">
        <f>_xll.qlYoYCapFloorTermPriceSurfaceMaxStrike(B33,B33)</f>
        <v>0.05</v>
      </c>
      <c r="C84" s="22"/>
      <c r="D84" s="22"/>
      <c r="E84" s="22"/>
      <c r="F84" s="23"/>
    </row>
    <row r="85" spans="1:6" x14ac:dyDescent="0.25">
      <c r="A85" s="73" t="s">
        <v>229</v>
      </c>
      <c r="B85" s="128">
        <f>_xll.qlYoYCapFloorTermPriceSurfaceMinMaturity(B33,B33)</f>
        <v>45659</v>
      </c>
      <c r="C85" s="74"/>
      <c r="D85" s="74"/>
      <c r="E85" s="74"/>
      <c r="F85" s="155"/>
    </row>
    <row r="86" spans="1:6" x14ac:dyDescent="0.25">
      <c r="A86" s="59" t="s">
        <v>230</v>
      </c>
      <c r="B86" s="52">
        <f>_xll.qlYoYCapFloorTermPriceSurfaceMaxMaturity(B33,B33)</f>
        <v>47120</v>
      </c>
      <c r="C86" s="22"/>
      <c r="D86" s="22"/>
      <c r="E86" s="22"/>
      <c r="F86" s="23"/>
    </row>
    <row r="87" spans="1:6" x14ac:dyDescent="0.25">
      <c r="A87" s="85" t="s">
        <v>212</v>
      </c>
      <c r="B87" s="19" t="s">
        <v>167</v>
      </c>
      <c r="C87" s="19"/>
      <c r="D87" s="19"/>
      <c r="E87" s="19"/>
      <c r="F87" s="20"/>
    </row>
    <row r="88" spans="1:6" x14ac:dyDescent="0.25">
      <c r="A88" s="47" t="s">
        <v>231</v>
      </c>
      <c r="B88" s="68">
        <f>_xll.qlYoYCapFloorTermPriceSurfaceYoyOptionDateFromTenor(B33,B87,B33)</f>
        <v>45659</v>
      </c>
      <c r="C88" s="25"/>
      <c r="D88" s="25"/>
      <c r="E88" s="25"/>
      <c r="F88" s="26"/>
    </row>
  </sheetData>
  <pageMargins left="0.7" right="0.7" top="0.78740157499999996" bottom="0.78740157499999996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42C57-5B93-4C72-BB50-518A57A8D62B}">
  <dimension ref="A1:K3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28" sqref="C28"/>
    </sheetView>
  </sheetViews>
  <sheetFormatPr baseColWidth="10" defaultColWidth="11.5703125" defaultRowHeight="15" x14ac:dyDescent="0.25"/>
  <cols>
    <col min="1" max="1" width="43.5703125" customWidth="1"/>
    <col min="2" max="3" width="84.28515625" style="4" bestFit="1" customWidth="1"/>
    <col min="4" max="4" width="7.5703125" style="4" customWidth="1"/>
    <col min="5" max="5" width="11.5703125" style="4"/>
  </cols>
  <sheetData>
    <row r="1" spans="1:11" x14ac:dyDescent="0.25">
      <c r="A1" t="s">
        <v>2</v>
      </c>
      <c r="B1" s="2">
        <v>45292</v>
      </c>
      <c r="C1" s="11"/>
      <c r="E1" s="11"/>
      <c r="F1" s="3"/>
      <c r="G1" s="3"/>
      <c r="H1" s="3"/>
      <c r="I1" s="3"/>
      <c r="J1" s="3"/>
      <c r="K1" s="3"/>
    </row>
    <row r="2" spans="1:11" x14ac:dyDescent="0.25">
      <c r="A2" t="s">
        <v>3</v>
      </c>
      <c r="B2" s="2">
        <f>_xll.qlSettingsSetEvaluationDate(B1)</f>
        <v>45292</v>
      </c>
      <c r="E2" s="11"/>
      <c r="F2" s="3"/>
      <c r="G2" s="3"/>
      <c r="H2" s="3"/>
      <c r="I2" s="3"/>
      <c r="J2" s="3"/>
      <c r="K2" s="3"/>
    </row>
    <row r="4" spans="1:11" x14ac:dyDescent="0.25">
      <c r="A4" s="49" t="s">
        <v>236</v>
      </c>
      <c r="B4" s="19" t="s">
        <v>241</v>
      </c>
      <c r="C4" s="109" t="s">
        <v>241</v>
      </c>
    </row>
    <row r="5" spans="1:11" x14ac:dyDescent="0.25">
      <c r="A5" s="54" t="s">
        <v>92</v>
      </c>
      <c r="B5" s="22">
        <v>100000</v>
      </c>
      <c r="C5" s="57">
        <v>100000</v>
      </c>
    </row>
    <row r="6" spans="1:11" x14ac:dyDescent="0.25">
      <c r="A6" s="54" t="s">
        <v>237</v>
      </c>
      <c r="B6" s="52">
        <v>45292</v>
      </c>
      <c r="C6" s="55">
        <v>45292</v>
      </c>
    </row>
    <row r="7" spans="1:11" x14ac:dyDescent="0.25">
      <c r="A7" s="54" t="s">
        <v>74</v>
      </c>
      <c r="B7" s="52">
        <v>47119</v>
      </c>
      <c r="C7" s="55">
        <v>47119</v>
      </c>
    </row>
    <row r="8" spans="1:11" x14ac:dyDescent="0.25">
      <c r="A8" s="54" t="s">
        <v>75</v>
      </c>
      <c r="B8" s="22" t="s">
        <v>78</v>
      </c>
      <c r="C8" s="57" t="s">
        <v>78</v>
      </c>
    </row>
    <row r="9" spans="1:11" x14ac:dyDescent="0.25">
      <c r="A9" s="54" t="s">
        <v>162</v>
      </c>
      <c r="B9" s="22" t="s">
        <v>79</v>
      </c>
      <c r="C9" s="57" t="s">
        <v>79</v>
      </c>
    </row>
    <row r="10" spans="1:11" x14ac:dyDescent="0.25">
      <c r="A10" s="54" t="s">
        <v>31</v>
      </c>
      <c r="B10" s="22" t="s">
        <v>52</v>
      </c>
      <c r="C10" s="57" t="s">
        <v>52</v>
      </c>
    </row>
    <row r="11" spans="1:11" x14ac:dyDescent="0.25">
      <c r="A11" s="54" t="s">
        <v>120</v>
      </c>
      <c r="B11" s="22">
        <v>0.02</v>
      </c>
      <c r="C11" s="57">
        <v>0.02</v>
      </c>
    </row>
    <row r="12" spans="1:11" x14ac:dyDescent="0.25">
      <c r="A12" s="64" t="s">
        <v>18</v>
      </c>
      <c r="B12" s="66">
        <v>45200</v>
      </c>
      <c r="C12" s="46">
        <v>45200</v>
      </c>
    </row>
    <row r="13" spans="1:11" x14ac:dyDescent="0.25">
      <c r="A13" s="65" t="s">
        <v>18</v>
      </c>
      <c r="B13" s="52">
        <v>47392</v>
      </c>
      <c r="C13" s="55">
        <v>47392</v>
      </c>
    </row>
    <row r="14" spans="1:11" x14ac:dyDescent="0.25">
      <c r="A14" s="65" t="s">
        <v>19</v>
      </c>
      <c r="B14" s="22">
        <v>0.01</v>
      </c>
      <c r="C14" s="57">
        <v>0.01</v>
      </c>
    </row>
    <row r="15" spans="1:11" x14ac:dyDescent="0.25">
      <c r="A15" s="65" t="s">
        <v>19</v>
      </c>
      <c r="B15" s="22">
        <v>0.02</v>
      </c>
      <c r="C15" s="57">
        <v>0.02</v>
      </c>
    </row>
    <row r="16" spans="1:11" x14ac:dyDescent="0.25">
      <c r="A16" s="89" t="s">
        <v>15</v>
      </c>
      <c r="B16" s="90" t="str">
        <f>_xll.qlZeroInflationCurve($B$2,B12:B13,B14:B15,"semiannual","act/360",,B2)</f>
        <v>欣[test_inflation.xlsx]ZeroCouponInflationSwap!R16C2ZeroInflationTermStructureHandle,A</v>
      </c>
      <c r="C16" s="61" t="str">
        <f>_xll.qlZeroInflationCurve($B$2,C12:C13,C14:C15,"semiannual","act/360",,B2)</f>
        <v>欣[test_inflation.xlsx]ZeroCouponInflationSwap!R16C3ZeroInflationTermStructureHandle,A</v>
      </c>
    </row>
    <row r="17" spans="1:3" x14ac:dyDescent="0.25">
      <c r="A17" s="126" t="s">
        <v>90</v>
      </c>
      <c r="B17" s="25" t="str">
        <f>_xll.qlEUHICP(B16,B16)</f>
        <v>欣[test_inflation.xlsx]ZeroCouponInflationSwap!R17C2EUHICP,A</v>
      </c>
      <c r="C17" s="48" t="str">
        <f>_xll.qlEUHICP(C16,C16)</f>
        <v>欣[test_inflation.xlsx]ZeroCouponInflationSwap!R17C3EUHICP,A</v>
      </c>
    </row>
    <row r="18" spans="1:3" x14ac:dyDescent="0.25">
      <c r="A18" s="49" t="s">
        <v>14</v>
      </c>
      <c r="B18" s="66">
        <v>45200</v>
      </c>
      <c r="C18" s="46">
        <v>45200</v>
      </c>
    </row>
    <row r="19" spans="1:3" x14ac:dyDescent="0.25">
      <c r="A19" s="54" t="s">
        <v>22</v>
      </c>
      <c r="B19" s="22">
        <v>100</v>
      </c>
      <c r="C19" s="57">
        <v>100</v>
      </c>
    </row>
    <row r="20" spans="1:3" x14ac:dyDescent="0.25">
      <c r="A20" s="126" t="s">
        <v>21</v>
      </c>
      <c r="B20" s="25" t="b">
        <f>_xll.qlIndexAddFixing(B17,B18,B19,TRUE,B17)</f>
        <v>1</v>
      </c>
      <c r="C20" s="48" t="b">
        <f>_xll.qlIndexAddFixing(C17,C18,C19,TRUE,C17)</f>
        <v>1</v>
      </c>
    </row>
    <row r="21" spans="1:3" x14ac:dyDescent="0.25">
      <c r="A21" s="54" t="s">
        <v>73</v>
      </c>
      <c r="B21" s="22" t="s">
        <v>17</v>
      </c>
      <c r="C21" s="57" t="s">
        <v>17</v>
      </c>
    </row>
    <row r="22" spans="1:3" x14ac:dyDescent="0.25">
      <c r="A22" s="54" t="s">
        <v>77</v>
      </c>
      <c r="B22" s="22" t="s">
        <v>80</v>
      </c>
      <c r="C22" s="57" t="s">
        <v>80</v>
      </c>
    </row>
    <row r="23" spans="1:3" x14ac:dyDescent="0.25">
      <c r="A23" s="54" t="s">
        <v>238</v>
      </c>
      <c r="B23" s="22"/>
      <c r="C23" s="57" t="b">
        <v>1</v>
      </c>
    </row>
    <row r="24" spans="1:3" x14ac:dyDescent="0.25">
      <c r="A24" s="54" t="s">
        <v>239</v>
      </c>
      <c r="B24" s="22"/>
      <c r="C24" s="57" t="s">
        <v>78</v>
      </c>
    </row>
    <row r="25" spans="1:3" x14ac:dyDescent="0.25">
      <c r="A25" s="54" t="s">
        <v>240</v>
      </c>
      <c r="B25" s="22"/>
      <c r="C25" s="57" t="s">
        <v>171</v>
      </c>
    </row>
    <row r="26" spans="1:3" x14ac:dyDescent="0.25">
      <c r="A26" s="47" t="s">
        <v>242</v>
      </c>
      <c r="B26" s="25" t="str">
        <f>_xll.qlZeroCouponInflationSwap(B4,B5,B6,B7,B8,B9,B10,B11,B17,B21,B22,,,,B20)</f>
        <v>欣[test_inflation.xlsx]ZeroCouponInflationSwap!R26C2ZeroCouponInflationSwap,A</v>
      </c>
      <c r="C26" s="48" t="str">
        <f>_xll.qlZeroCouponInflationSwap(C4,C5,C6,C7,C8,C9,C10,C11,C17,C21,C22,C23,C24,C25,C20)</f>
        <v>欣[test_inflation.xlsx]ZeroCouponInflationSwap!R26C3ZeroCouponInflationSwap,A</v>
      </c>
    </row>
    <row r="27" spans="1:3" x14ac:dyDescent="0.25">
      <c r="A27" s="85" t="s">
        <v>252</v>
      </c>
      <c r="B27" s="19" t="str">
        <f>_xll.qlFlatForward($B$2,0.03,"actual365fixed",,,B26)</f>
        <v>欣[test_inflation.xlsx]ZeroCouponInflationSwap!R27C2YieldTermStructureHandle,A</v>
      </c>
      <c r="C27" s="109" t="str">
        <f>_xll.qlFlatForward($B$2,0.03,"actual365fixed",,,C26)</f>
        <v>欣[test_inflation.xlsx]ZeroCouponInflationSwap!R27C3YieldTermStructureHandle,A</v>
      </c>
    </row>
    <row r="28" spans="1:3" x14ac:dyDescent="0.25">
      <c r="A28" s="88" t="s">
        <v>250</v>
      </c>
      <c r="B28" s="22" t="str">
        <f>_xll.qlDiscountingSwapEngine(B27,TRUE,,,B27)</f>
        <v>欣[test_inflation.xlsx]ZeroCouponInflationSwap!R28C2DiscountingSwapEngine,C</v>
      </c>
      <c r="C28" s="57" t="str">
        <f>_xll.qlDiscountingSwapEngine(C27,TRUE,,,C27)</f>
        <v>欣[test_inflation.xlsx]ZeroCouponInflationSwap!R28C3DiscountingSwapEngine,C</v>
      </c>
    </row>
    <row r="29" spans="1:3" x14ac:dyDescent="0.25">
      <c r="A29" s="158" t="s">
        <v>251</v>
      </c>
      <c r="B29" s="25" t="b">
        <f>_xll.qlInstrumentSetPricingEngine(B26,B28,B28)</f>
        <v>1</v>
      </c>
      <c r="C29" s="48" t="b">
        <f>_xll.qlInstrumentSetPricingEngine(C26,C28,C28)</f>
        <v>1</v>
      </c>
    </row>
    <row r="30" spans="1:3" x14ac:dyDescent="0.25">
      <c r="A30" s="156" t="s">
        <v>243</v>
      </c>
      <c r="B30" s="19">
        <f>_xll.qlZeroCouponInflationSwapFairRate(B26,B29)</f>
        <v>1.8166214059694319E-2</v>
      </c>
      <c r="C30" s="109">
        <f>_xll.qlZeroCouponInflationSwapFairRate(C26,C29)</f>
        <v>1.8166214059694319E-2</v>
      </c>
    </row>
    <row r="31" spans="1:3" x14ac:dyDescent="0.25">
      <c r="A31" s="59" t="s">
        <v>244</v>
      </c>
      <c r="B31" s="22" t="str">
        <f>_xll.qlZeroCouponInflationSwapFixedLeg(B26,B26)</f>
        <v>欣[test_inflation.xlsx]ZeroCouponInflationSwap!R31C2CashFlow,A</v>
      </c>
      <c r="C31" s="57" t="str">
        <f>_xll.qlZeroCouponInflationSwapFixedLeg(C26,C26)</f>
        <v>欣[test_inflation.xlsx]ZeroCouponInflationSwap!R31C3CashFlow,A</v>
      </c>
    </row>
    <row r="32" spans="1:3" x14ac:dyDescent="0.25">
      <c r="A32" s="59" t="s">
        <v>245</v>
      </c>
      <c r="B32" s="22">
        <f>_xll.qlZeroCouponInflationSwapFixedLegBPS(B26,B29)</f>
        <v>46.636667326188139</v>
      </c>
      <c r="C32" s="57">
        <f>_xll.qlZeroCouponInflationSwapFixedLegBPS(C26,C29)</f>
        <v>46.636667326188139</v>
      </c>
    </row>
    <row r="33" spans="1:3" x14ac:dyDescent="0.25">
      <c r="A33" s="59" t="s">
        <v>246</v>
      </c>
      <c r="B33" s="22">
        <f>_xll.qlZeroCouponInflationSwapFixedLegNPV(B26,B29)</f>
        <v>8966.4185160214583</v>
      </c>
      <c r="C33" s="57">
        <f>_xll.qlZeroCouponInflationSwapFixedLegNPV(C26,C29)</f>
        <v>8966.4185160214583</v>
      </c>
    </row>
    <row r="34" spans="1:3" x14ac:dyDescent="0.25">
      <c r="A34" s="59" t="s">
        <v>247</v>
      </c>
      <c r="B34" s="22" t="str">
        <f>_xll.qlZeroCouponInflationSwapInflationLeg(B26,B26)</f>
        <v>欣[test_inflation.xlsx]ZeroCouponInflationSwap!R34C2CashFlow,A</v>
      </c>
      <c r="C34" s="57" t="str">
        <f>_xll.qlZeroCouponInflationSwapInflationLeg(C26,C26)</f>
        <v>欣[test_inflation.xlsx]ZeroCouponInflationSwap!R34C3CashFlow,A</v>
      </c>
    </row>
    <row r="35" spans="1:3" x14ac:dyDescent="0.25">
      <c r="A35" s="59" t="s">
        <v>248</v>
      </c>
      <c r="B35" s="22">
        <f>_xll.qlZeroCouponInflationSwapInflationLegNPV(B26,B29)</f>
        <v>-8114.4429053552676</v>
      </c>
      <c r="C35" s="57">
        <f>_xll.qlZeroCouponInflationSwapInflationLegNPV(C26,C29)</f>
        <v>-8114.4429053552676</v>
      </c>
    </row>
    <row r="36" spans="1:3" x14ac:dyDescent="0.25">
      <c r="A36" s="72" t="s">
        <v>249</v>
      </c>
      <c r="B36" s="25" t="str">
        <f>_xll.qlZeroCouponInflationSwapType(B26,B26)</f>
        <v>PAYER</v>
      </c>
      <c r="C36" s="48" t="str">
        <f>_xll.qlZeroCouponInflationSwapType(C26,C26)</f>
        <v>PAYER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278F3-5464-449A-80D5-BAB6DF603E48}">
  <dimension ref="A1:K4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43.5703125" customWidth="1"/>
    <col min="2" max="3" width="75.42578125" style="4" bestFit="1" customWidth="1"/>
    <col min="4" max="4" width="7.5703125" style="4" customWidth="1"/>
    <col min="5" max="5" width="11.5703125" style="4"/>
  </cols>
  <sheetData>
    <row r="1" spans="1:11" x14ac:dyDescent="0.25">
      <c r="A1" t="s">
        <v>2</v>
      </c>
      <c r="B1" s="2">
        <v>45292</v>
      </c>
      <c r="C1" s="11"/>
      <c r="E1" s="11"/>
      <c r="F1" s="3"/>
      <c r="G1" s="3"/>
      <c r="H1" s="3"/>
      <c r="I1" s="3"/>
      <c r="J1" s="3"/>
      <c r="K1" s="3"/>
    </row>
    <row r="2" spans="1:11" x14ac:dyDescent="0.25">
      <c r="A2" t="s">
        <v>3</v>
      </c>
      <c r="B2" s="2">
        <f>_xll.qlSettingsSetEvaluationDate(B1)</f>
        <v>45292</v>
      </c>
      <c r="E2" s="11"/>
      <c r="F2" s="3"/>
      <c r="G2" s="3"/>
      <c r="H2" s="3"/>
      <c r="I2" s="3"/>
      <c r="J2" s="3"/>
      <c r="K2" s="3"/>
    </row>
    <row r="4" spans="1:11" x14ac:dyDescent="0.25">
      <c r="A4" s="49" t="s">
        <v>236</v>
      </c>
      <c r="B4" s="19" t="s">
        <v>257</v>
      </c>
      <c r="C4" s="109" t="s">
        <v>257</v>
      </c>
    </row>
    <row r="5" spans="1:11" x14ac:dyDescent="0.25">
      <c r="A5" s="54" t="s">
        <v>92</v>
      </c>
      <c r="B5" s="22">
        <v>10000</v>
      </c>
      <c r="C5" s="57">
        <v>10000</v>
      </c>
    </row>
    <row r="6" spans="1:11" x14ac:dyDescent="0.25">
      <c r="A6" s="85" t="s">
        <v>159</v>
      </c>
      <c r="B6" s="66">
        <v>45292</v>
      </c>
      <c r="C6" s="46">
        <v>45292</v>
      </c>
    </row>
    <row r="7" spans="1:11" x14ac:dyDescent="0.25">
      <c r="A7" s="88" t="s">
        <v>160</v>
      </c>
      <c r="B7" s="52">
        <v>46023</v>
      </c>
      <c r="C7" s="55">
        <v>46023</v>
      </c>
    </row>
    <row r="8" spans="1:11" x14ac:dyDescent="0.25">
      <c r="A8" s="88" t="s">
        <v>161</v>
      </c>
      <c r="B8" s="22" t="s">
        <v>167</v>
      </c>
      <c r="C8" s="57" t="s">
        <v>167</v>
      </c>
    </row>
    <row r="9" spans="1:11" x14ac:dyDescent="0.25">
      <c r="A9" s="88" t="s">
        <v>75</v>
      </c>
      <c r="B9" s="22" t="s">
        <v>78</v>
      </c>
      <c r="C9" s="57" t="s">
        <v>78</v>
      </c>
    </row>
    <row r="10" spans="1:11" x14ac:dyDescent="0.25">
      <c r="A10" s="88" t="s">
        <v>162</v>
      </c>
      <c r="B10" s="22" t="s">
        <v>79</v>
      </c>
      <c r="C10" s="57" t="s">
        <v>79</v>
      </c>
    </row>
    <row r="11" spans="1:11" x14ac:dyDescent="0.25">
      <c r="A11" s="88" t="s">
        <v>163</v>
      </c>
      <c r="B11" s="22" t="s">
        <v>79</v>
      </c>
      <c r="C11" s="57" t="s">
        <v>79</v>
      </c>
    </row>
    <row r="12" spans="1:11" x14ac:dyDescent="0.25">
      <c r="A12" s="88" t="s">
        <v>164</v>
      </c>
      <c r="B12" s="22" t="s">
        <v>166</v>
      </c>
      <c r="C12" s="57" t="s">
        <v>166</v>
      </c>
    </row>
    <row r="13" spans="1:11" x14ac:dyDescent="0.25">
      <c r="A13" s="88" t="s">
        <v>165</v>
      </c>
      <c r="B13" s="22" t="b">
        <v>0</v>
      </c>
      <c r="C13" s="57" t="b">
        <v>0</v>
      </c>
    </row>
    <row r="14" spans="1:11" x14ac:dyDescent="0.25">
      <c r="A14" s="126" t="s">
        <v>253</v>
      </c>
      <c r="B14" s="25" t="str">
        <f>_xll.qlSchedule(B6,B7,B8,B9,B10,B11,B12,B13,,,B2)</f>
        <v>欣[test_inflation.xlsx]YoYInflationSwap!R14C2Schedule,A</v>
      </c>
      <c r="C14" s="48" t="str">
        <f>_xll.qlSchedule(C6,C7,C8,C9,C10,C11,C12,C13,,,B2)</f>
        <v>欣[test_inflation.xlsx]YoYInflationSwap!R14C3Schedule,A</v>
      </c>
    </row>
    <row r="15" spans="1:11" x14ac:dyDescent="0.25">
      <c r="A15" s="54" t="s">
        <v>120</v>
      </c>
      <c r="B15" s="22">
        <v>0.02</v>
      </c>
      <c r="C15" s="57">
        <v>0.02</v>
      </c>
    </row>
    <row r="16" spans="1:11" x14ac:dyDescent="0.25">
      <c r="A16" s="54" t="s">
        <v>254</v>
      </c>
      <c r="B16" s="22" t="s">
        <v>52</v>
      </c>
      <c r="C16" s="57" t="s">
        <v>52</v>
      </c>
    </row>
    <row r="17" spans="1:3" x14ac:dyDescent="0.25">
      <c r="A17" s="85" t="s">
        <v>159</v>
      </c>
      <c r="B17" s="66">
        <v>45292</v>
      </c>
      <c r="C17" s="46">
        <v>45292</v>
      </c>
    </row>
    <row r="18" spans="1:3" x14ac:dyDescent="0.25">
      <c r="A18" s="88" t="s">
        <v>160</v>
      </c>
      <c r="B18" s="52">
        <v>46023</v>
      </c>
      <c r="C18" s="55">
        <v>46023</v>
      </c>
    </row>
    <row r="19" spans="1:3" x14ac:dyDescent="0.25">
      <c r="A19" s="88" t="s">
        <v>161</v>
      </c>
      <c r="B19" s="22" t="s">
        <v>167</v>
      </c>
      <c r="C19" s="57" t="s">
        <v>167</v>
      </c>
    </row>
    <row r="20" spans="1:3" x14ac:dyDescent="0.25">
      <c r="A20" s="88" t="s">
        <v>75</v>
      </c>
      <c r="B20" s="22" t="s">
        <v>78</v>
      </c>
      <c r="C20" s="57" t="s">
        <v>78</v>
      </c>
    </row>
    <row r="21" spans="1:3" x14ac:dyDescent="0.25">
      <c r="A21" s="88" t="s">
        <v>162</v>
      </c>
      <c r="B21" s="22" t="s">
        <v>79</v>
      </c>
      <c r="C21" s="57" t="s">
        <v>79</v>
      </c>
    </row>
    <row r="22" spans="1:3" x14ac:dyDescent="0.25">
      <c r="A22" s="88" t="s">
        <v>163</v>
      </c>
      <c r="B22" s="22" t="s">
        <v>79</v>
      </c>
      <c r="C22" s="57" t="s">
        <v>79</v>
      </c>
    </row>
    <row r="23" spans="1:3" x14ac:dyDescent="0.25">
      <c r="A23" s="88" t="s">
        <v>164</v>
      </c>
      <c r="B23" s="22" t="s">
        <v>166</v>
      </c>
      <c r="C23" s="57" t="s">
        <v>166</v>
      </c>
    </row>
    <row r="24" spans="1:3" x14ac:dyDescent="0.25">
      <c r="A24" s="88" t="s">
        <v>165</v>
      </c>
      <c r="B24" s="22" t="b">
        <v>0</v>
      </c>
      <c r="C24" s="57" t="b">
        <v>0</v>
      </c>
    </row>
    <row r="25" spans="1:3" x14ac:dyDescent="0.25">
      <c r="A25" s="126" t="s">
        <v>255</v>
      </c>
      <c r="B25" s="25" t="str">
        <f>_xll.qlSchedule(B17,B18,B19,B20,B21,B22,B23,B24,,,B14)</f>
        <v>欣[test_inflation.xlsx]YoYInflationSwap!R25C2Schedule,A</v>
      </c>
      <c r="C25" s="48" t="str">
        <f>_xll.qlSchedule(C17,C18,C19,C20,C21,C22,C23,C24,,,C14)</f>
        <v>欣[test_inflation.xlsx]YoYInflationSwap!R25C3Schedule,A</v>
      </c>
    </row>
    <row r="26" spans="1:3" x14ac:dyDescent="0.25">
      <c r="A26" s="64" t="s">
        <v>18</v>
      </c>
      <c r="B26" s="66">
        <v>45200</v>
      </c>
      <c r="C26" s="46">
        <v>45200</v>
      </c>
    </row>
    <row r="27" spans="1:3" x14ac:dyDescent="0.25">
      <c r="A27" s="65" t="s">
        <v>18</v>
      </c>
      <c r="B27" s="52">
        <v>47392</v>
      </c>
      <c r="C27" s="55">
        <v>47392</v>
      </c>
    </row>
    <row r="28" spans="1:3" x14ac:dyDescent="0.25">
      <c r="A28" s="65" t="s">
        <v>19</v>
      </c>
      <c r="B28" s="22">
        <v>0.01</v>
      </c>
      <c r="C28" s="57">
        <v>0.01</v>
      </c>
    </row>
    <row r="29" spans="1:3" x14ac:dyDescent="0.25">
      <c r="A29" s="65" t="s">
        <v>19</v>
      </c>
      <c r="B29" s="22">
        <v>0.02</v>
      </c>
      <c r="C29" s="57">
        <v>0.02</v>
      </c>
    </row>
    <row r="30" spans="1:3" x14ac:dyDescent="0.25">
      <c r="A30" s="89" t="s">
        <v>24</v>
      </c>
      <c r="B30" s="90" t="str">
        <f>_xll.qlYoYInflationCurve($B$2,B26:B27,B28:B29,"semiannual","act/360",,B25)</f>
        <v>欣[test_inflation.xlsx]YoYInflationSwap!R30C2YoYInflationTermStructureHandle,A</v>
      </c>
      <c r="C30" s="61" t="str">
        <f>_xll.qlYoYInflationCurve($B$2,C26:C27,C28:C29,"semiannual","act/360",,C25)</f>
        <v>欣[test_inflation.xlsx]YoYInflationSwap!R30C3YoYInflationTermStructureHandle,A</v>
      </c>
    </row>
    <row r="31" spans="1:3" x14ac:dyDescent="0.25">
      <c r="A31" s="126" t="s">
        <v>90</v>
      </c>
      <c r="B31" s="25" t="str">
        <f>_xll.qlYYEUHICP(B30,B30)</f>
        <v>欣[test_inflation.xlsx]YoYInflationSwap!R31C2YYEUHICP,A</v>
      </c>
      <c r="C31" s="48" t="str">
        <f>_xll.qlYYEUHICP(C30,C30)</f>
        <v>欣[test_inflation.xlsx]YoYInflationSwap!R31C3YYEUHICP,A</v>
      </c>
    </row>
    <row r="32" spans="1:3" x14ac:dyDescent="0.25">
      <c r="A32" s="54" t="s">
        <v>73</v>
      </c>
      <c r="B32" s="22" t="s">
        <v>17</v>
      </c>
      <c r="C32" s="57" t="s">
        <v>17</v>
      </c>
    </row>
    <row r="33" spans="1:3" x14ac:dyDescent="0.25">
      <c r="A33" s="54" t="s">
        <v>96</v>
      </c>
      <c r="B33" s="22" t="s">
        <v>80</v>
      </c>
      <c r="C33" s="57" t="s">
        <v>80</v>
      </c>
    </row>
    <row r="34" spans="1:3" x14ac:dyDescent="0.25">
      <c r="A34" s="54" t="s">
        <v>97</v>
      </c>
      <c r="B34" s="22">
        <v>0</v>
      </c>
      <c r="C34" s="57">
        <v>0</v>
      </c>
    </row>
    <row r="35" spans="1:3" x14ac:dyDescent="0.25">
      <c r="A35" s="54" t="s">
        <v>256</v>
      </c>
      <c r="B35" s="22" t="s">
        <v>52</v>
      </c>
      <c r="C35" s="57" t="s">
        <v>52</v>
      </c>
    </row>
    <row r="36" spans="1:3" x14ac:dyDescent="0.25">
      <c r="A36" s="54" t="s">
        <v>158</v>
      </c>
      <c r="B36" s="22" t="s">
        <v>78</v>
      </c>
      <c r="C36" s="57" t="s">
        <v>78</v>
      </c>
    </row>
    <row r="37" spans="1:3" x14ac:dyDescent="0.25">
      <c r="A37" s="54" t="s">
        <v>150</v>
      </c>
      <c r="B37" s="22"/>
      <c r="C37" s="57" t="s">
        <v>171</v>
      </c>
    </row>
    <row r="38" spans="1:3" x14ac:dyDescent="0.25">
      <c r="A38" s="47" t="s">
        <v>258</v>
      </c>
      <c r="B38" s="25" t="str">
        <f>_xll.qlYearOnYearInflationSwap(B4,B5,B14,B15,B16,B25,B31,B32,B33,B34,B35,B36,,B31)</f>
        <v>欣[test_inflation.xlsx]YoYInflationSwap!R38C2YearOnYearInflationSwap,A</v>
      </c>
      <c r="C38" s="48" t="str">
        <f>_xll.qlYearOnYearInflationSwap(C4,C5,C14,C15,C16,C25,C31,C32,C33,C34,C35,C36,C37,C31)</f>
        <v>欣[test_inflation.xlsx]YoYInflationSwap!R38C3YearOnYearInflationSwap,A</v>
      </c>
    </row>
    <row r="39" spans="1:3" x14ac:dyDescent="0.25">
      <c r="A39" s="85" t="s">
        <v>252</v>
      </c>
      <c r="B39" s="19" t="str">
        <f>_xll.qlFlatForward($B$2,0.03,"actual365fixed",,,B38)</f>
        <v>欣[test_inflation.xlsx]YoYInflationSwap!R39C2YieldTermStructureHandle,A</v>
      </c>
      <c r="C39" s="19" t="str">
        <f>_xll.qlFlatForward($B$2,0.03,"actual365fixed",,,C38)</f>
        <v>欣[test_inflation.xlsx]YoYInflationSwap!R39C3YieldTermStructureHandle,A</v>
      </c>
    </row>
    <row r="40" spans="1:3" x14ac:dyDescent="0.25">
      <c r="A40" s="88" t="s">
        <v>250</v>
      </c>
      <c r="B40" s="22" t="str">
        <f>_xll.qlDiscountingSwapEngine(B39,TRUE,,,B39)</f>
        <v>欣[test_inflation.xlsx]YoYInflationSwap!R40C2DiscountingSwapEngine,C</v>
      </c>
      <c r="C40" s="22" t="str">
        <f>_xll.qlDiscountingSwapEngine(C39,TRUE,,,C39)</f>
        <v>欣[test_inflation.xlsx]YoYInflationSwap!R40C3DiscountingSwapEngine,C</v>
      </c>
    </row>
    <row r="41" spans="1:3" x14ac:dyDescent="0.25">
      <c r="A41" s="158" t="s">
        <v>251</v>
      </c>
      <c r="B41" s="25" t="b">
        <f>_xll.qlInstrumentSetPricingEngine(B38,B40,B40)</f>
        <v>1</v>
      </c>
      <c r="C41" s="25" t="b">
        <f>_xll.qlInstrumentSetPricingEngine(C38,C40,C40)</f>
        <v>1</v>
      </c>
    </row>
    <row r="42" spans="1:3" x14ac:dyDescent="0.25">
      <c r="A42" s="44" t="s">
        <v>259</v>
      </c>
      <c r="B42" s="45">
        <f>_xll.qlYearOnYearInflationSwapFairRate(B38,B41)</f>
        <v>1.2068946663217159E-2</v>
      </c>
      <c r="C42" s="45">
        <f>_xll.qlYearOnYearInflationSwapFairRate(C38,C41)</f>
        <v>1.2068946663217159E-2</v>
      </c>
    </row>
    <row r="43" spans="1:3" x14ac:dyDescent="0.25">
      <c r="A43" s="44" t="s">
        <v>260</v>
      </c>
      <c r="B43" s="45">
        <f>_xll.qlYearOnYearInflationSwapFixedLegNPV(B38,B41)</f>
        <v>-382.91081498649692</v>
      </c>
      <c r="C43" s="45">
        <f>_xll.qlYearOnYearInflationSwapFixedLegNPV(C38,C41)</f>
        <v>-382.91081498649692</v>
      </c>
    </row>
    <row r="44" spans="1:3" x14ac:dyDescent="0.25">
      <c r="A44" s="44" t="s">
        <v>261</v>
      </c>
      <c r="B44" s="45">
        <f>_xll.qlYearOnYearInflationSwapYoYLegNPV(B38,B41)</f>
        <v>231.06651014205264</v>
      </c>
      <c r="C44" s="45">
        <f>_xll.qlYearOnYearInflationSwapYoYLegNPV(C38,C41)</f>
        <v>231.06651014205264</v>
      </c>
    </row>
    <row r="45" spans="1:3" x14ac:dyDescent="0.25">
      <c r="A45" s="44" t="s">
        <v>262</v>
      </c>
      <c r="B45" s="45">
        <f>_xll.qlYearOnYearInflationSwapFairSpread(B38,B41)</f>
        <v>7.9310533367828416E-3</v>
      </c>
      <c r="C45" s="45">
        <f>_xll.qlYearOnYearInflationSwapFairSpread(C38,C41)</f>
        <v>7.9310533367828416E-3</v>
      </c>
    </row>
    <row r="46" spans="1:3" x14ac:dyDescent="0.25">
      <c r="A46" s="44" t="s">
        <v>263</v>
      </c>
      <c r="B46" s="45" t="str">
        <f>_xll.qlYearOnYearInflationSwapFixedLeg(B38,B38)</f>
        <v>欣[test_inflation.xlsx]YoYInflationSwap!R46C2CashFlow,A</v>
      </c>
      <c r="C46" s="45" t="str">
        <f>_xll.qlYearOnYearInflationSwapFixedLeg(C38,C38)</f>
        <v>欣[test_inflation.xlsx]YoYInflationSwap!R46C3CashFlow,A</v>
      </c>
    </row>
    <row r="47" spans="1:3" x14ac:dyDescent="0.25">
      <c r="A47" s="44" t="s">
        <v>264</v>
      </c>
      <c r="B47" s="45" t="str">
        <f>_xll.qlYearOnYearInflationSwapYoYLeg(B38,B38)</f>
        <v>欣[test_inflation.xlsx]YoYInflationSwap!R47C2CashFlow,A</v>
      </c>
      <c r="C47" s="45" t="str">
        <f>_xll.qlYearOnYearInflationSwapYoYLeg(C38,C38)</f>
        <v>欣[test_inflation.xlsx]YoYInflationSwap!R47C3CashFlow,A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00313-45D9-44F8-AE9A-67360035CD3E}">
  <dimension ref="A1:K5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9" sqref="B49"/>
    </sheetView>
  </sheetViews>
  <sheetFormatPr baseColWidth="10" defaultColWidth="11.5703125" defaultRowHeight="15" x14ac:dyDescent="0.25"/>
  <cols>
    <col min="1" max="1" width="43.5703125" customWidth="1"/>
    <col min="2" max="2" width="67.42578125" style="4" customWidth="1"/>
    <col min="3" max="3" width="66.85546875" style="4" customWidth="1"/>
    <col min="4" max="4" width="7.5703125" style="4" customWidth="1"/>
    <col min="5" max="5" width="11.5703125" style="4"/>
  </cols>
  <sheetData>
    <row r="1" spans="1:11" x14ac:dyDescent="0.25">
      <c r="A1" t="s">
        <v>2</v>
      </c>
      <c r="B1" s="2">
        <v>45292</v>
      </c>
      <c r="C1" s="11"/>
      <c r="E1" s="11"/>
      <c r="F1" s="3"/>
      <c r="G1" s="3"/>
      <c r="H1" s="3"/>
      <c r="I1" s="3"/>
      <c r="J1" s="3"/>
      <c r="K1" s="3"/>
    </row>
    <row r="2" spans="1:11" x14ac:dyDescent="0.25">
      <c r="A2" t="s">
        <v>3</v>
      </c>
      <c r="B2" s="2">
        <f>_xll.qlSettingsSetEvaluationDate(B1)</f>
        <v>45292</v>
      </c>
      <c r="E2" s="11"/>
      <c r="F2" s="3"/>
      <c r="G2" s="3"/>
      <c r="H2" s="3"/>
      <c r="I2" s="3"/>
      <c r="J2" s="3"/>
      <c r="K2" s="3"/>
    </row>
    <row r="4" spans="1:11" x14ac:dyDescent="0.25">
      <c r="A4" s="49" t="s">
        <v>236</v>
      </c>
      <c r="B4" s="19" t="s">
        <v>241</v>
      </c>
      <c r="C4" s="109" t="s">
        <v>241</v>
      </c>
    </row>
    <row r="5" spans="1:11" x14ac:dyDescent="0.25">
      <c r="A5" s="54" t="s">
        <v>92</v>
      </c>
      <c r="B5" s="22">
        <v>100000</v>
      </c>
      <c r="C5" s="57">
        <v>100000</v>
      </c>
    </row>
    <row r="6" spans="1:11" x14ac:dyDescent="0.25">
      <c r="A6" s="54" t="s">
        <v>265</v>
      </c>
      <c r="B6" s="22" t="b">
        <v>1</v>
      </c>
      <c r="C6" s="57" t="b">
        <v>1</v>
      </c>
    </row>
    <row r="7" spans="1:11" x14ac:dyDescent="0.25">
      <c r="A7" s="54" t="s">
        <v>97</v>
      </c>
      <c r="B7" s="22">
        <v>0</v>
      </c>
      <c r="C7" s="57">
        <v>0</v>
      </c>
    </row>
    <row r="8" spans="1:11" x14ac:dyDescent="0.25">
      <c r="A8" s="54" t="s">
        <v>266</v>
      </c>
      <c r="B8" s="22" t="s">
        <v>52</v>
      </c>
      <c r="C8" s="57" t="s">
        <v>52</v>
      </c>
    </row>
    <row r="9" spans="1:11" x14ac:dyDescent="0.25">
      <c r="A9" s="85" t="s">
        <v>159</v>
      </c>
      <c r="B9" s="66">
        <v>45292</v>
      </c>
      <c r="C9" s="46">
        <v>45292</v>
      </c>
    </row>
    <row r="10" spans="1:11" x14ac:dyDescent="0.25">
      <c r="A10" s="88" t="s">
        <v>160</v>
      </c>
      <c r="B10" s="52">
        <v>46023</v>
      </c>
      <c r="C10" s="55">
        <v>46023</v>
      </c>
    </row>
    <row r="11" spans="1:11" x14ac:dyDescent="0.25">
      <c r="A11" s="88" t="s">
        <v>161</v>
      </c>
      <c r="B11" s="22" t="s">
        <v>167</v>
      </c>
      <c r="C11" s="57" t="s">
        <v>167</v>
      </c>
    </row>
    <row r="12" spans="1:11" x14ac:dyDescent="0.25">
      <c r="A12" s="88" t="s">
        <v>75</v>
      </c>
      <c r="B12" s="22" t="s">
        <v>78</v>
      </c>
      <c r="C12" s="57" t="s">
        <v>78</v>
      </c>
    </row>
    <row r="13" spans="1:11" x14ac:dyDescent="0.25">
      <c r="A13" s="88" t="s">
        <v>162</v>
      </c>
      <c r="B13" s="22" t="s">
        <v>79</v>
      </c>
      <c r="C13" s="57" t="s">
        <v>79</v>
      </c>
    </row>
    <row r="14" spans="1:11" x14ac:dyDescent="0.25">
      <c r="A14" s="88" t="s">
        <v>163</v>
      </c>
      <c r="B14" s="22" t="s">
        <v>79</v>
      </c>
      <c r="C14" s="57" t="s">
        <v>79</v>
      </c>
    </row>
    <row r="15" spans="1:11" x14ac:dyDescent="0.25">
      <c r="A15" s="88" t="s">
        <v>164</v>
      </c>
      <c r="B15" s="22" t="s">
        <v>166</v>
      </c>
      <c r="C15" s="57" t="s">
        <v>166</v>
      </c>
    </row>
    <row r="16" spans="1:11" x14ac:dyDescent="0.25">
      <c r="A16" s="88" t="s">
        <v>165</v>
      </c>
      <c r="B16" s="22" t="b">
        <v>0</v>
      </c>
      <c r="C16" s="57" t="b">
        <v>0</v>
      </c>
    </row>
    <row r="17" spans="1:3" x14ac:dyDescent="0.25">
      <c r="A17" s="126" t="s">
        <v>267</v>
      </c>
      <c r="B17" s="25" t="str">
        <f>_xll.qlSchedule(B9,B10,B11,B12,B13,B14,B15,B16,,,B2)</f>
        <v>欣[test_inflation.xlsx]CPISwap!R17C2Schedule,A</v>
      </c>
      <c r="C17" s="48" t="str">
        <f>_xll.qlSchedule(C9,C10,C11,C12,C13,C14,C15,C16,,,B2)</f>
        <v>欣[test_inflation.xlsx]CPISwap!R17C3Schedule,A</v>
      </c>
    </row>
    <row r="18" spans="1:3" x14ac:dyDescent="0.25">
      <c r="A18" s="54" t="s">
        <v>268</v>
      </c>
      <c r="B18" s="22" t="s">
        <v>79</v>
      </c>
      <c r="C18" s="57" t="s">
        <v>79</v>
      </c>
    </row>
    <row r="19" spans="1:3" x14ac:dyDescent="0.25">
      <c r="A19" s="54" t="s">
        <v>95</v>
      </c>
      <c r="B19" s="22">
        <v>2</v>
      </c>
      <c r="C19" s="57">
        <v>2</v>
      </c>
    </row>
    <row r="20" spans="1:3" x14ac:dyDescent="0.25">
      <c r="A20" s="54" t="s">
        <v>281</v>
      </c>
      <c r="B20" s="22" t="str">
        <f>_xll.qlFlatForward($B$2,0.03,"actual360",,,B17)</f>
        <v>欣[test_inflation.xlsx]CPISwap!R20C2YieldTermStructureHandle,A</v>
      </c>
      <c r="C20" s="57" t="str">
        <f>_xll.qlFlatForward($B$2,0.03,"actual360",,,C17)</f>
        <v>欣[test_inflation.xlsx]CPISwap!R20C3YieldTermStructureHandle,A</v>
      </c>
    </row>
    <row r="21" spans="1:3" x14ac:dyDescent="0.25">
      <c r="A21" s="54" t="s">
        <v>269</v>
      </c>
      <c r="B21" s="22" t="str">
        <f>_xll.qlIborIndex("USDLibor6M","6M",2,"USD","TARGET","ModifiedFollowing",FALSE,"actual360",B20,B20)</f>
        <v>欣[test_inflation.xlsx]CPISwap!R21C2IborIndex,A</v>
      </c>
      <c r="C21" s="57" t="str">
        <f>_xll.qlIborIndex("USDLibor6M","6M",2,"USD","TARGET","ModifiedFollowing",FALSE,"actual360",C20,C20)</f>
        <v>欣[test_inflation.xlsx]CPISwap!R21C3IborIndex,A</v>
      </c>
    </row>
    <row r="22" spans="1:3" x14ac:dyDescent="0.25">
      <c r="A22" s="49"/>
      <c r="B22" s="66">
        <v>45288</v>
      </c>
      <c r="C22" s="46">
        <v>45288</v>
      </c>
    </row>
    <row r="23" spans="1:3" x14ac:dyDescent="0.25">
      <c r="A23" s="54"/>
      <c r="B23" s="22">
        <v>0.03</v>
      </c>
      <c r="C23" s="57">
        <v>0.03</v>
      </c>
    </row>
    <row r="24" spans="1:3" x14ac:dyDescent="0.25">
      <c r="A24" s="126" t="s">
        <v>21</v>
      </c>
      <c r="B24" s="25" t="b">
        <f>_xll.qlIndexAddFixing(B21,B22,B23,TRUE,B21)</f>
        <v>1</v>
      </c>
      <c r="C24" s="48" t="b">
        <f>_xll.qlIndexAddFixing(C21,C22,C23,TRUE,C21)</f>
        <v>1</v>
      </c>
    </row>
    <row r="25" spans="1:3" x14ac:dyDescent="0.25">
      <c r="A25" s="54" t="s">
        <v>120</v>
      </c>
      <c r="B25" s="22">
        <v>0.02</v>
      </c>
      <c r="C25" s="57">
        <v>0.02</v>
      </c>
    </row>
    <row r="26" spans="1:3" x14ac:dyDescent="0.25">
      <c r="A26" s="54" t="s">
        <v>119</v>
      </c>
      <c r="B26" s="22">
        <v>100</v>
      </c>
      <c r="C26" s="57">
        <v>100</v>
      </c>
    </row>
    <row r="27" spans="1:3" x14ac:dyDescent="0.25">
      <c r="A27" s="54" t="s">
        <v>270</v>
      </c>
      <c r="B27" s="22" t="s">
        <v>52</v>
      </c>
      <c r="C27" s="57" t="s">
        <v>52</v>
      </c>
    </row>
    <row r="28" spans="1:3" x14ac:dyDescent="0.25">
      <c r="A28" s="85" t="s">
        <v>159</v>
      </c>
      <c r="B28" s="66">
        <v>45292</v>
      </c>
      <c r="C28" s="46">
        <v>45292</v>
      </c>
    </row>
    <row r="29" spans="1:3" x14ac:dyDescent="0.25">
      <c r="A29" s="88" t="s">
        <v>160</v>
      </c>
      <c r="B29" s="52">
        <v>46023</v>
      </c>
      <c r="C29" s="55">
        <v>46023</v>
      </c>
    </row>
    <row r="30" spans="1:3" x14ac:dyDescent="0.25">
      <c r="A30" s="88" t="s">
        <v>161</v>
      </c>
      <c r="B30" s="22" t="s">
        <v>167</v>
      </c>
      <c r="C30" s="57" t="s">
        <v>167</v>
      </c>
    </row>
    <row r="31" spans="1:3" x14ac:dyDescent="0.25">
      <c r="A31" s="88" t="s">
        <v>75</v>
      </c>
      <c r="B31" s="22" t="s">
        <v>78</v>
      </c>
      <c r="C31" s="57" t="s">
        <v>78</v>
      </c>
    </row>
    <row r="32" spans="1:3" x14ac:dyDescent="0.25">
      <c r="A32" s="88" t="s">
        <v>162</v>
      </c>
      <c r="B32" s="22" t="s">
        <v>79</v>
      </c>
      <c r="C32" s="57" t="s">
        <v>79</v>
      </c>
    </row>
    <row r="33" spans="1:3" x14ac:dyDescent="0.25">
      <c r="A33" s="88" t="s">
        <v>163</v>
      </c>
      <c r="B33" s="22" t="s">
        <v>79</v>
      </c>
      <c r="C33" s="57" t="s">
        <v>79</v>
      </c>
    </row>
    <row r="34" spans="1:3" x14ac:dyDescent="0.25">
      <c r="A34" s="88" t="s">
        <v>164</v>
      </c>
      <c r="B34" s="22" t="s">
        <v>166</v>
      </c>
      <c r="C34" s="57" t="s">
        <v>166</v>
      </c>
    </row>
    <row r="35" spans="1:3" x14ac:dyDescent="0.25">
      <c r="A35" s="88" t="s">
        <v>165</v>
      </c>
      <c r="B35" s="22" t="b">
        <v>0</v>
      </c>
      <c r="C35" s="57" t="b">
        <v>0</v>
      </c>
    </row>
    <row r="36" spans="1:3" x14ac:dyDescent="0.25">
      <c r="A36" s="126" t="s">
        <v>253</v>
      </c>
      <c r="B36" s="25" t="str">
        <f>_xll.qlSchedule(B28,B29,B30,B31,B32,B33,B34,B35,,,B24)</f>
        <v>欣[test_inflation.xlsx]CPISwap!R36C2Schedule,A</v>
      </c>
      <c r="C36" s="48" t="str">
        <f>_xll.qlSchedule(C28,C29,C30,C31,C32,C33,C34,C35,,,C24)</f>
        <v>欣[test_inflation.xlsx]CPISwap!R36C3Schedule,A</v>
      </c>
    </row>
    <row r="37" spans="1:3" x14ac:dyDescent="0.25">
      <c r="A37" s="54" t="s">
        <v>271</v>
      </c>
      <c r="B37" s="22" t="s">
        <v>79</v>
      </c>
      <c r="C37" s="57" t="s">
        <v>79</v>
      </c>
    </row>
    <row r="38" spans="1:3" x14ac:dyDescent="0.25">
      <c r="A38" s="54" t="s">
        <v>54</v>
      </c>
      <c r="B38" s="22" t="s">
        <v>17</v>
      </c>
      <c r="C38" s="57" t="s">
        <v>17</v>
      </c>
    </row>
    <row r="39" spans="1:3" x14ac:dyDescent="0.25">
      <c r="A39" s="64" t="s">
        <v>18</v>
      </c>
      <c r="B39" s="66">
        <v>45200</v>
      </c>
      <c r="C39" s="46">
        <v>45200</v>
      </c>
    </row>
    <row r="40" spans="1:3" x14ac:dyDescent="0.25">
      <c r="A40" s="65" t="s">
        <v>18</v>
      </c>
      <c r="B40" s="52">
        <v>47392</v>
      </c>
      <c r="C40" s="55">
        <v>47392</v>
      </c>
    </row>
    <row r="41" spans="1:3" x14ac:dyDescent="0.25">
      <c r="A41" s="65" t="s">
        <v>19</v>
      </c>
      <c r="B41" s="22">
        <v>0.01</v>
      </c>
      <c r="C41" s="57">
        <v>0.01</v>
      </c>
    </row>
    <row r="42" spans="1:3" x14ac:dyDescent="0.25">
      <c r="A42" s="65" t="s">
        <v>19</v>
      </c>
      <c r="B42" s="22">
        <v>0.02</v>
      </c>
      <c r="C42" s="57">
        <v>0.02</v>
      </c>
    </row>
    <row r="43" spans="1:3" x14ac:dyDescent="0.25">
      <c r="A43" s="89" t="s">
        <v>15</v>
      </c>
      <c r="B43" s="90" t="str">
        <f>_xll.qlZeroInflationCurve($B$1,B39:B40,B41:B42,"semiannual","act/360",,B36)</f>
        <v>欣[test_inflation.xlsx]CPISwap!R43C2ZeroInflationTermStructureHandle,A</v>
      </c>
      <c r="C43" s="61" t="str">
        <f>_xll.qlZeroInflationCurve($B$2,C39:C40,C41:C42,"semiannual","act/360",,C36)</f>
        <v>欣[test_inflation.xlsx]CPISwap!R43C3ZeroInflationTermStructureHandle,A</v>
      </c>
    </row>
    <row r="44" spans="1:3" x14ac:dyDescent="0.25">
      <c r="A44" s="126" t="s">
        <v>272</v>
      </c>
      <c r="B44" s="25" t="str">
        <f>_xll.qlEUHICP(B43,B43)</f>
        <v>欣[test_inflation.xlsx]CPISwap!R44C2EUHICP,A</v>
      </c>
      <c r="C44" s="48" t="str">
        <f>_xll.qlEUHICP(C43,C43)</f>
        <v>欣[test_inflation.xlsx]CPISwap!R44C3EUHICP,A</v>
      </c>
    </row>
    <row r="45" spans="1:3" x14ac:dyDescent="0.25">
      <c r="A45" s="54" t="s">
        <v>77</v>
      </c>
      <c r="B45" s="22"/>
      <c r="C45" s="57" t="s">
        <v>80</v>
      </c>
    </row>
    <row r="46" spans="1:3" x14ac:dyDescent="0.25">
      <c r="A46" s="54" t="s">
        <v>273</v>
      </c>
      <c r="B46" s="22"/>
      <c r="C46" s="57">
        <v>100</v>
      </c>
    </row>
    <row r="47" spans="1:3" x14ac:dyDescent="0.25">
      <c r="A47" s="47" t="s">
        <v>274</v>
      </c>
      <c r="B47" s="25" t="str">
        <f>_xll.qlCPISwap(B4,B5,B6,B7,B8,B17,B18,B19,B21,B25,B26,B27,B36,B37,B38,B44,,,B36)</f>
        <v>欣[test_inflation.xlsx]CPISwap!R47C2CPISwap,A</v>
      </c>
      <c r="C47" s="48" t="str">
        <f>_xll.qlCPISwap(C4,C5,C6,C7,C8,C17,C18,C19,C21,C25,C26,C27,C36,C37,C38,C44,C45,C46,C36)</f>
        <v>欣[test_inflation.xlsx]CPISwap!R47C3CPISwap,A</v>
      </c>
    </row>
    <row r="48" spans="1:3" x14ac:dyDescent="0.25">
      <c r="A48" s="85" t="s">
        <v>252</v>
      </c>
      <c r="B48" s="19" t="str">
        <f>_xll.qlFlatForward($B$2,0.03,"actual365fixed",,,B47)</f>
        <v>欣[test_inflation.xlsx]CPISwap!R48C2YieldTermStructureHandle,A</v>
      </c>
      <c r="C48" s="109" t="str">
        <f>_xll.qlFlatForward($B$1,0.03,"actual365fixed",,,C47)</f>
        <v>欣[test_inflation.xlsx]CPISwap!R48C3YieldTermStructureHandle,A</v>
      </c>
    </row>
    <row r="49" spans="1:3" x14ac:dyDescent="0.25">
      <c r="A49" s="88" t="s">
        <v>250</v>
      </c>
      <c r="B49" s="22" t="str">
        <f>_xll.qlDiscountingSwapEngine(B48,TRUE,,,B48)</f>
        <v>欣[test_inflation.xlsx]CPISwap!R49C2DiscountingSwapEngine,C</v>
      </c>
      <c r="C49" s="57" t="str">
        <f>_xll.qlDiscountingSwapEngine(C48,TRUE,,,C48)</f>
        <v>欣[test_inflation.xlsx]CPISwap!R49C3DiscountingSwapEngine,C</v>
      </c>
    </row>
    <row r="50" spans="1:3" x14ac:dyDescent="0.25">
      <c r="A50" s="158" t="s">
        <v>251</v>
      </c>
      <c r="B50" s="25" t="b">
        <f>_xll.qlInstrumentSetPricingEngine(B47,B49,B49)</f>
        <v>1</v>
      </c>
      <c r="C50" s="48" t="b">
        <f>_xll.qlInstrumentSetPricingEngine(C47,C49,C49)</f>
        <v>1</v>
      </c>
    </row>
    <row r="51" spans="1:3" x14ac:dyDescent="0.25">
      <c r="A51" s="44" t="s">
        <v>275</v>
      </c>
      <c r="B51" s="45">
        <f>_xll.qlCPISwapFairRate(B47,B50)</f>
        <v>1.6867051795196701E-2</v>
      </c>
      <c r="C51" s="45">
        <f>_xll.qlCPISwapFairRate(C47,C50)</f>
        <v>521.53824333098601</v>
      </c>
    </row>
    <row r="52" spans="1:3" x14ac:dyDescent="0.25">
      <c r="A52" s="44" t="s">
        <v>276</v>
      </c>
      <c r="B52" s="45">
        <f>_xll.qlCPISwapFloatLegNPV(B47,B50)</f>
        <v>-5787.0620776745382</v>
      </c>
      <c r="C52" s="45">
        <f>_xll.qlCPISwapFloatLegNPV(C47,C50)</f>
        <v>-99853.874674049657</v>
      </c>
    </row>
    <row r="53" spans="1:3" x14ac:dyDescent="0.25">
      <c r="A53" s="44" t="s">
        <v>277</v>
      </c>
      <c r="B53" s="45">
        <f>_xll.qlCPISwapFairSpread(B47,B50)</f>
        <v>3.1329482048032989E-3</v>
      </c>
      <c r="C53" s="45">
        <f>_xll.qlCPISwapFairSpread(C47,C50)</f>
        <v>-0.52151824333098606</v>
      </c>
    </row>
    <row r="54" spans="1:3" x14ac:dyDescent="0.25">
      <c r="A54" s="44" t="s">
        <v>278</v>
      </c>
      <c r="B54" s="45">
        <f>_xll.qlCPISwapFixedLegNPV(B47,B50)</f>
        <v>6386.8819528803933</v>
      </c>
      <c r="C54" s="45">
        <f>_xll.qlCPISwapFixedLegNPV(C47,C50)</f>
        <v>6.386881952880394</v>
      </c>
    </row>
    <row r="55" spans="1:3" x14ac:dyDescent="0.25">
      <c r="A55" s="44" t="s">
        <v>279</v>
      </c>
      <c r="B55" s="45" t="str">
        <f>_xll.qlCPISwapCPILeg(B47,B47)</f>
        <v>欣[test_inflation.xlsx]CPISwap!R55C2CashFlow,A</v>
      </c>
      <c r="C55" s="45" t="str">
        <f>_xll.qlCPISwapCPILeg(C47,C47)</f>
        <v>欣[test_inflation.xlsx]CPISwap!R55C3CashFlow,A</v>
      </c>
    </row>
    <row r="56" spans="1:3" x14ac:dyDescent="0.25">
      <c r="A56" s="44" t="s">
        <v>280</v>
      </c>
      <c r="B56" s="45" t="str">
        <f>_xll.qlCPISwapFloatLeg(B47,B47)</f>
        <v>欣[test_inflation.xlsx]CPISwap!R56C2CashFlow,A</v>
      </c>
      <c r="C56" s="45" t="str">
        <f>_xll.qlCPISwapFloatLeg(C47,C47)</f>
        <v>欣[test_inflation.xlsx]CPISwap!R56C3CashFlow,A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52A21-BD21-4351-820A-7598244A8493}">
  <dimension ref="A1:E6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47.7109375" bestFit="1" customWidth="1"/>
    <col min="2" max="3" width="96" style="4" bestFit="1" customWidth="1"/>
  </cols>
  <sheetData>
    <row r="1" spans="1:5" x14ac:dyDescent="0.25">
      <c r="A1" t="s">
        <v>2</v>
      </c>
      <c r="B1" s="2">
        <v>45292</v>
      </c>
      <c r="C1" s="11"/>
      <c r="D1" s="3"/>
      <c r="E1" s="3"/>
    </row>
    <row r="2" spans="1:5" x14ac:dyDescent="0.25">
      <c r="A2" t="s">
        <v>3</v>
      </c>
      <c r="B2" s="2">
        <f>_xll.qlSettingsSetEvaluationDate(B1)</f>
        <v>45292</v>
      </c>
      <c r="D2" s="3"/>
      <c r="E2" s="3"/>
    </row>
    <row r="4" spans="1:5" x14ac:dyDescent="0.25">
      <c r="A4" s="49" t="s">
        <v>283</v>
      </c>
      <c r="B4" s="19" t="s">
        <v>115</v>
      </c>
      <c r="C4" s="109" t="s">
        <v>116</v>
      </c>
    </row>
    <row r="5" spans="1:5" x14ac:dyDescent="0.25">
      <c r="A5" s="85" t="s">
        <v>159</v>
      </c>
      <c r="B5" s="66">
        <v>45292</v>
      </c>
      <c r="C5" s="46">
        <v>45292</v>
      </c>
    </row>
    <row r="6" spans="1:5" x14ac:dyDescent="0.25">
      <c r="A6" s="88" t="s">
        <v>160</v>
      </c>
      <c r="B6" s="52">
        <v>47119</v>
      </c>
      <c r="C6" s="55">
        <v>47119</v>
      </c>
    </row>
    <row r="7" spans="1:5" x14ac:dyDescent="0.25">
      <c r="A7" s="88" t="s">
        <v>161</v>
      </c>
      <c r="B7" s="22" t="s">
        <v>167</v>
      </c>
      <c r="C7" s="57" t="s">
        <v>167</v>
      </c>
    </row>
    <row r="8" spans="1:5" x14ac:dyDescent="0.25">
      <c r="A8" s="88" t="s">
        <v>75</v>
      </c>
      <c r="B8" s="22" t="s">
        <v>78</v>
      </c>
      <c r="C8" s="57" t="s">
        <v>78</v>
      </c>
    </row>
    <row r="9" spans="1:5" x14ac:dyDescent="0.25">
      <c r="A9" s="88" t="s">
        <v>162</v>
      </c>
      <c r="B9" s="22" t="s">
        <v>79</v>
      </c>
      <c r="C9" s="57" t="s">
        <v>79</v>
      </c>
    </row>
    <row r="10" spans="1:5" x14ac:dyDescent="0.25">
      <c r="A10" s="88" t="s">
        <v>163</v>
      </c>
      <c r="B10" s="22" t="s">
        <v>79</v>
      </c>
      <c r="C10" s="57" t="s">
        <v>79</v>
      </c>
    </row>
    <row r="11" spans="1:5" x14ac:dyDescent="0.25">
      <c r="A11" s="88" t="s">
        <v>164</v>
      </c>
      <c r="B11" s="22" t="s">
        <v>166</v>
      </c>
      <c r="C11" s="57" t="s">
        <v>166</v>
      </c>
    </row>
    <row r="12" spans="1:5" x14ac:dyDescent="0.25">
      <c r="A12" s="88" t="s">
        <v>165</v>
      </c>
      <c r="B12" s="22" t="b">
        <v>0</v>
      </c>
      <c r="C12" s="57" t="b">
        <v>0</v>
      </c>
    </row>
    <row r="13" spans="1:5" x14ac:dyDescent="0.25">
      <c r="A13" s="158" t="s">
        <v>148</v>
      </c>
      <c r="B13" s="25" t="str">
        <f>_xll.qlSchedule(B5,B6,B7,B8,B9,B10,B11,B12,,,B2)</f>
        <v>欣[test_inflation.xlsx]YoYInflationCapFloor!R13C2Schedule,A</v>
      </c>
      <c r="C13" s="48" t="str">
        <f>_xll.qlSchedule(C5,C6,C7,C8,C9,C10,C11,C12,,,B2)</f>
        <v>欣[test_inflation.xlsx]YoYInflationCapFloor!R13C3Schedule,A</v>
      </c>
    </row>
    <row r="14" spans="1:5" x14ac:dyDescent="0.25">
      <c r="A14" s="88" t="s">
        <v>75</v>
      </c>
      <c r="B14" s="22" t="s">
        <v>78</v>
      </c>
      <c r="C14" s="57" t="s">
        <v>78</v>
      </c>
    </row>
    <row r="15" spans="1:5" x14ac:dyDescent="0.25">
      <c r="A15" s="64" t="s">
        <v>18</v>
      </c>
      <c r="B15" s="66">
        <v>45200</v>
      </c>
      <c r="C15" s="46">
        <v>45200</v>
      </c>
    </row>
    <row r="16" spans="1:5" x14ac:dyDescent="0.25">
      <c r="A16" s="65" t="s">
        <v>18</v>
      </c>
      <c r="B16" s="52">
        <v>47392</v>
      </c>
      <c r="C16" s="55">
        <v>47392</v>
      </c>
    </row>
    <row r="17" spans="1:3" x14ac:dyDescent="0.25">
      <c r="A17" s="65" t="s">
        <v>19</v>
      </c>
      <c r="B17" s="22">
        <v>0.01</v>
      </c>
      <c r="C17" s="57">
        <v>0.01</v>
      </c>
    </row>
    <row r="18" spans="1:3" x14ac:dyDescent="0.25">
      <c r="A18" s="65" t="s">
        <v>19</v>
      </c>
      <c r="B18" s="22">
        <v>0.02</v>
      </c>
      <c r="C18" s="57">
        <v>0.02</v>
      </c>
    </row>
    <row r="19" spans="1:3" x14ac:dyDescent="0.25">
      <c r="A19" s="65" t="s">
        <v>24</v>
      </c>
      <c r="B19" s="90" t="str">
        <f>_xll.qlYoYInflationCurve($B$2,B15:B16,B17:B18,"semiannual","act/360",,B13)</f>
        <v>欣[test_inflation.xlsx]YoYInflationCapFloor!R19C2YoYInflationTermStructureHandle,A</v>
      </c>
      <c r="C19" s="61" t="str">
        <f>_xll.qlYoYInflationCurve($B$2,C15:C16,C17:C18,"semiannual","act/360",,C13)</f>
        <v>欣[test_inflation.xlsx]YoYInflationCapFloor!R19C3YoYInflationTermStructureHandle,A</v>
      </c>
    </row>
    <row r="20" spans="1:3" x14ac:dyDescent="0.25">
      <c r="A20" s="158" t="s">
        <v>90</v>
      </c>
      <c r="B20" s="25" t="str">
        <f>_xll.qlYYEUHICP(B19,B19)</f>
        <v>欣[test_inflation.xlsx]YoYInflationCapFloor!R20C2YYEUHICP,A</v>
      </c>
      <c r="C20" s="48" t="str">
        <f>_xll.qlYYEUHICP(C19,C19)</f>
        <v>欣[test_inflation.xlsx]YoYInflationCapFloor!R20C3YYEUHICP,A</v>
      </c>
    </row>
    <row r="21" spans="1:3" x14ac:dyDescent="0.25">
      <c r="A21" s="88" t="s">
        <v>54</v>
      </c>
      <c r="B21" s="22" t="s">
        <v>17</v>
      </c>
      <c r="C21" s="57" t="s">
        <v>17</v>
      </c>
    </row>
    <row r="22" spans="1:3" x14ac:dyDescent="0.25">
      <c r="A22" s="88" t="s">
        <v>96</v>
      </c>
      <c r="B22" s="22" t="s">
        <v>80</v>
      </c>
      <c r="C22" s="57" t="s">
        <v>80</v>
      </c>
    </row>
    <row r="23" spans="1:3" x14ac:dyDescent="0.25">
      <c r="A23" s="88" t="s">
        <v>182</v>
      </c>
      <c r="B23" s="22">
        <v>10000</v>
      </c>
      <c r="C23" s="57">
        <v>10000</v>
      </c>
    </row>
    <row r="24" spans="1:3" x14ac:dyDescent="0.25">
      <c r="A24" s="88" t="s">
        <v>182</v>
      </c>
      <c r="B24" s="22">
        <v>10000</v>
      </c>
      <c r="C24" s="57">
        <v>10000</v>
      </c>
    </row>
    <row r="25" spans="1:3" x14ac:dyDescent="0.25">
      <c r="A25" s="88" t="s">
        <v>149</v>
      </c>
      <c r="B25" s="22" t="s">
        <v>52</v>
      </c>
      <c r="C25" s="57" t="s">
        <v>52</v>
      </c>
    </row>
    <row r="26" spans="1:3" x14ac:dyDescent="0.25">
      <c r="A26" s="161" t="s">
        <v>284</v>
      </c>
      <c r="B26" s="25" t="str">
        <f>_xll.qlYoYInflationLeg(B13,B14,B20,B21,B22,B23:B24,B25,,,,,,,B20)</f>
        <v>欣[test_inflation.xlsx]YoYInflationCapFloor!R26C2CashFlow,A</v>
      </c>
      <c r="C26" s="48" t="str">
        <f>_xll.qlYoYInflationLeg(C13,C14,C20,C21,C22,C23:C24,C25,,,,,,,C20)</f>
        <v>欣[test_inflation.xlsx]YoYInflationCapFloor!R26C3CashFlow,A</v>
      </c>
    </row>
    <row r="27" spans="1:3" x14ac:dyDescent="0.25">
      <c r="A27" s="54" t="s">
        <v>285</v>
      </c>
      <c r="B27" s="22">
        <v>0.03</v>
      </c>
      <c r="C27" s="57">
        <v>0.03</v>
      </c>
    </row>
    <row r="28" spans="1:3" x14ac:dyDescent="0.25">
      <c r="A28" s="54" t="s">
        <v>285</v>
      </c>
      <c r="B28" s="22">
        <v>0.04</v>
      </c>
      <c r="C28" s="57">
        <v>0.04</v>
      </c>
    </row>
    <row r="29" spans="1:3" x14ac:dyDescent="0.25">
      <c r="A29" s="54" t="s">
        <v>285</v>
      </c>
      <c r="B29" s="22">
        <v>0.05</v>
      </c>
      <c r="C29" s="57">
        <v>0.05</v>
      </c>
    </row>
    <row r="30" spans="1:3" x14ac:dyDescent="0.25">
      <c r="A30" s="47" t="s">
        <v>286</v>
      </c>
      <c r="B30" s="25" t="str">
        <f>_xll.qlYoYInflationCapFloor(B4,B26,B27:B29,B26)</f>
        <v>欣[test_inflation.xlsx]YoYInflationCapFloor!R30C2YoYInflationCapFloor,A</v>
      </c>
      <c r="C30" s="48" t="str">
        <f>_xll.qlYoYInflationCapFloor(C4,C26,C27:C29,C26)</f>
        <v>欣[test_inflation.xlsx]YoYInflationCapFloor!R30C3YoYInflationCapFloor,A</v>
      </c>
    </row>
    <row r="31" spans="1:3" x14ac:dyDescent="0.25">
      <c r="A31" s="51"/>
      <c r="B31" s="22"/>
      <c r="C31" s="22"/>
    </row>
    <row r="32" spans="1:3" x14ac:dyDescent="0.25">
      <c r="A32" s="85" t="s">
        <v>90</v>
      </c>
      <c r="B32" s="19" t="str">
        <f>B20</f>
        <v>欣[test_inflation.xlsx]YoYInflationCapFloor!R20C2YYEUHICP,A</v>
      </c>
      <c r="C32" s="109" t="str">
        <f>C20</f>
        <v>欣[test_inflation.xlsx]YoYInflationCapFloor!R20C3YYEUHICP,A</v>
      </c>
    </row>
    <row r="33" spans="1:3" x14ac:dyDescent="0.25">
      <c r="A33" s="88" t="s">
        <v>105</v>
      </c>
      <c r="B33" s="134">
        <v>2</v>
      </c>
      <c r="C33" s="162">
        <v>2</v>
      </c>
    </row>
    <row r="34" spans="1:3" x14ac:dyDescent="0.25">
      <c r="A34" s="88" t="s">
        <v>75</v>
      </c>
      <c r="B34" s="150" t="s">
        <v>78</v>
      </c>
      <c r="C34" s="105" t="s">
        <v>78</v>
      </c>
    </row>
    <row r="35" spans="1:3" x14ac:dyDescent="0.25">
      <c r="A35" s="88" t="s">
        <v>76</v>
      </c>
      <c r="B35" s="150" t="s">
        <v>79</v>
      </c>
      <c r="C35" s="105" t="s">
        <v>79</v>
      </c>
    </row>
    <row r="36" spans="1:3" x14ac:dyDescent="0.25">
      <c r="A36" s="88" t="s">
        <v>31</v>
      </c>
      <c r="B36" s="159" t="s">
        <v>52</v>
      </c>
      <c r="C36" s="106" t="s">
        <v>52</v>
      </c>
    </row>
    <row r="37" spans="1:3" x14ac:dyDescent="0.25">
      <c r="A37" s="88" t="s">
        <v>73</v>
      </c>
      <c r="B37" s="159" t="s">
        <v>17</v>
      </c>
      <c r="C37" s="106" t="s">
        <v>17</v>
      </c>
    </row>
    <row r="38" spans="1:3" x14ac:dyDescent="0.25">
      <c r="A38" s="88" t="s">
        <v>12</v>
      </c>
      <c r="B38" s="159" t="s">
        <v>81</v>
      </c>
      <c r="C38" s="106" t="s">
        <v>81</v>
      </c>
    </row>
    <row r="39" spans="1:3" x14ac:dyDescent="0.25">
      <c r="A39" s="88" t="s">
        <v>106</v>
      </c>
      <c r="B39" s="159" t="b">
        <v>0</v>
      </c>
      <c r="C39" s="106" t="b">
        <v>0</v>
      </c>
    </row>
    <row r="40" spans="1:3" x14ac:dyDescent="0.25">
      <c r="A40" s="85" t="s">
        <v>18</v>
      </c>
      <c r="B40" s="182">
        <v>45292</v>
      </c>
      <c r="C40" s="180">
        <v>45292</v>
      </c>
    </row>
    <row r="41" spans="1:3" x14ac:dyDescent="0.25">
      <c r="A41" s="88" t="s">
        <v>18</v>
      </c>
      <c r="B41" s="160">
        <v>45658</v>
      </c>
      <c r="C41" s="107">
        <v>45658</v>
      </c>
    </row>
    <row r="42" spans="1:3" x14ac:dyDescent="0.25">
      <c r="A42" s="158" t="s">
        <v>18</v>
      </c>
      <c r="B42" s="183">
        <v>46023</v>
      </c>
      <c r="C42" s="181">
        <v>46023</v>
      </c>
    </row>
    <row r="43" spans="1:3" x14ac:dyDescent="0.25">
      <c r="A43" s="85" t="s">
        <v>107</v>
      </c>
      <c r="B43" s="184">
        <v>0.02</v>
      </c>
      <c r="C43" s="179">
        <v>0.02</v>
      </c>
    </row>
    <row r="44" spans="1:3" x14ac:dyDescent="0.25">
      <c r="A44" s="88" t="s">
        <v>107</v>
      </c>
      <c r="B44" s="150">
        <v>2.5000000000000001E-2</v>
      </c>
      <c r="C44" s="105">
        <v>2.5000000000000001E-2</v>
      </c>
    </row>
    <row r="45" spans="1:3" x14ac:dyDescent="0.25">
      <c r="A45" s="158" t="s">
        <v>107</v>
      </c>
      <c r="B45" s="185">
        <v>0.03</v>
      </c>
      <c r="C45" s="186">
        <v>0.03</v>
      </c>
    </row>
    <row r="46" spans="1:3" x14ac:dyDescent="0.25">
      <c r="A46" s="88" t="s">
        <v>108</v>
      </c>
      <c r="B46" s="150">
        <v>0.01</v>
      </c>
      <c r="C46" s="105">
        <v>0.01</v>
      </c>
    </row>
    <row r="47" spans="1:3" x14ac:dyDescent="0.25">
      <c r="A47" s="88" t="s">
        <v>109</v>
      </c>
      <c r="B47" s="22">
        <v>0.1</v>
      </c>
      <c r="C47" s="57">
        <v>0.1</v>
      </c>
    </row>
    <row r="48" spans="1:3" x14ac:dyDescent="0.25">
      <c r="A48" s="163" t="s">
        <v>110</v>
      </c>
      <c r="B48" s="25" t="str">
        <f>_xll.qlInterpolatedYoYInflationOptionletVolatilityCurve(B33,B34,B35,B36,B37,B38,B39,B40:B42,B43:B45,B46,B47,B30)</f>
        <v>欣[test_inflation.xlsx]YoYInflationCapFloor!R48C2YoYOptionletVolatilitySurfaceHandle,A</v>
      </c>
      <c r="C48" s="57" t="str">
        <f>_xll.qlInterpolatedYoYInflationOptionletVolatilityCurve(C33,C34,C35,C36,C37,C38,C39,C40:C42,C43:C45,C46,C47,C30)</f>
        <v>欣[test_inflation.xlsx]YoYInflationCapFloor!R48C3YoYOptionletVolatilitySurfaceHandle,A</v>
      </c>
    </row>
    <row r="49" spans="1:3" x14ac:dyDescent="0.25">
      <c r="A49" s="164" t="s">
        <v>252</v>
      </c>
      <c r="B49" s="74" t="str">
        <f>_xll.qlFlatForward($B$2,0.03,"actual365fixed",,,B48)</f>
        <v>欣[test_inflation.xlsx]YoYInflationCapFloor!R49C2YieldTermStructureHandle,A</v>
      </c>
      <c r="C49" s="48" t="str">
        <f>_xll.qlFlatForward($B$2,0.03,"actual365fixed",,,C48)</f>
        <v>欣[test_inflation.xlsx]YoYInflationCapFloor!R49C3YieldTermStructureHandle,A</v>
      </c>
    </row>
    <row r="50" spans="1:3" x14ac:dyDescent="0.25">
      <c r="A50" s="110" t="s">
        <v>291</v>
      </c>
      <c r="B50" s="19" t="str">
        <f>_xll.qlYoYInflationCapFloor(B4,B26,B27:B29,B49)</f>
        <v>欣[test_inflation.xlsx]YoYInflationCapFloor!R50C2YoYInflationCapFloor,A</v>
      </c>
      <c r="C50" s="57" t="str">
        <f>_xll.qlYoYInflationCapFloor(C4,C26,C27:C29,C49)</f>
        <v>欣[test_inflation.xlsx]YoYInflationCapFloor!R50C3YoYInflationCapFloor,A</v>
      </c>
    </row>
    <row r="51" spans="1:3" x14ac:dyDescent="0.25">
      <c r="A51" s="111" t="s">
        <v>290</v>
      </c>
      <c r="B51" s="22" t="str">
        <f>_xll.qlYoYInflationBlackCapFloorEngine(B32,B48,B49,B50)</f>
        <v>欣[test_inflation.xlsx]YoYInflationCapFloor!R51C2YoYInflationBlackCapFloorEngine,A</v>
      </c>
      <c r="C51" s="57" t="str">
        <f>_xll.qlYoYInflationBlackCapFloorEngine(C32,C48,C49,C50)</f>
        <v>欣[test_inflation.xlsx]YoYInflationCapFloor!R51C3YoYInflationBlackCapFloorEngine,A</v>
      </c>
    </row>
    <row r="52" spans="1:3" x14ac:dyDescent="0.25">
      <c r="A52" s="101" t="s">
        <v>289</v>
      </c>
      <c r="B52" s="22" t="b">
        <f>_xll.qlInstrumentSetPricingEngine(B50,B51)</f>
        <v>1</v>
      </c>
      <c r="C52" s="57" t="b">
        <f>_xll.qlInstrumentSetPricingEngine(C50,C51)</f>
        <v>1</v>
      </c>
    </row>
    <row r="53" spans="1:3" x14ac:dyDescent="0.25">
      <c r="A53" s="102" t="s">
        <v>287</v>
      </c>
      <c r="B53" s="25">
        <f>_xll.qlYoYInflationCapFloorOptionletPrices(B50,B52)</f>
        <v>0</v>
      </c>
      <c r="C53" s="57">
        <f>_xll.qlYoYInflationCapFloorOptionletPrices(C50,C52)</f>
        <v>182.42706360619286</v>
      </c>
    </row>
    <row r="54" spans="1:3" x14ac:dyDescent="0.25">
      <c r="A54" s="110" t="s">
        <v>292</v>
      </c>
      <c r="B54" s="19" t="str">
        <f>_xll.qlYoYInflationCapFloor(B4,B26,B27:B29,B53)</f>
        <v>欣[test_inflation.xlsx]YoYInflationCapFloor!R54C2YoYInflationCapFloor,A</v>
      </c>
      <c r="C54" s="57" t="str">
        <f>_xll.qlYoYInflationCapFloor(C4,C26,C27:C29,C53)</f>
        <v>欣[test_inflation.xlsx]YoYInflationCapFloor!R54C3YoYInflationCapFloor,A</v>
      </c>
    </row>
    <row r="55" spans="1:3" x14ac:dyDescent="0.25">
      <c r="A55" s="111" t="s">
        <v>288</v>
      </c>
      <c r="B55" s="22" t="str">
        <f>_xll.qlYoYInflationBachelierCapFloorEngine(B32,B48,B49,B54)</f>
        <v>欣[test_inflation.xlsx]YoYInflationCapFloor!R55C2YoYInflationBachelierCapFloorEngine,A</v>
      </c>
      <c r="C55" s="57" t="str">
        <f>_xll.qlYoYInflationBachelierCapFloorEngine(C32,C48,C49,C54)</f>
        <v>欣[test_inflation.xlsx]YoYInflationCapFloor!R55C3YoYInflationBachelierCapFloorEngine,A</v>
      </c>
    </row>
    <row r="56" spans="1:3" x14ac:dyDescent="0.25">
      <c r="A56" s="101" t="s">
        <v>289</v>
      </c>
      <c r="B56" s="22" t="b">
        <f>_xll.qlInstrumentSetPricingEngine(B54,B55)</f>
        <v>1</v>
      </c>
      <c r="C56" s="57" t="b">
        <f>_xll.qlInstrumentSetPricingEngine(C54,C55)</f>
        <v>1</v>
      </c>
    </row>
    <row r="57" spans="1:3" x14ac:dyDescent="0.25">
      <c r="A57" s="102" t="s">
        <v>287</v>
      </c>
      <c r="B57" s="25">
        <f>_xll.qlYoYInflationCapFloorOptionletPrices(B54,B56)</f>
        <v>18.235674883848237</v>
      </c>
      <c r="C57" s="57">
        <f>_xll.qlYoYInflationCapFloorOptionletPrices(C54,C56)</f>
        <v>200.66273849004114</v>
      </c>
    </row>
    <row r="58" spans="1:3" x14ac:dyDescent="0.25">
      <c r="A58" s="110" t="s">
        <v>293</v>
      </c>
      <c r="B58" s="19" t="str">
        <f>_xll.qlYoYInflationCapFloor(B4,B26,B27:B29,B57)</f>
        <v>欣[test_inflation.xlsx]YoYInflationCapFloor!R58C2YoYInflationCapFloor,A</v>
      </c>
      <c r="C58" s="57" t="str">
        <f>_xll.qlYoYInflationCapFloor(C4,C26,C27:C29,C57)</f>
        <v>欣[test_inflation.xlsx]YoYInflationCapFloor!R58C3YoYInflationCapFloor,A</v>
      </c>
    </row>
    <row r="59" spans="1:3" x14ac:dyDescent="0.25">
      <c r="A59" s="111" t="s">
        <v>250</v>
      </c>
      <c r="B59" s="22" t="str">
        <f>_xll.qlYoYInflationUnitDisplacedBlackCapFloorEngine(B32,B48,B49,B58)</f>
        <v>欣[test_inflation.xlsx]YoYInflationCapFloor!R59C2YoYInflationUnitDisplacedBlackCapFloorEngine,A</v>
      </c>
      <c r="C59" s="57" t="str">
        <f>_xll.qlYoYInflationUnitDisplacedBlackCapFloorEngine(C32,C48,C49,C58)</f>
        <v>欣[test_inflation.xlsx]YoYInflationCapFloor!R59C3YoYInflationUnitDisplacedBlackCapFloorEngine,A</v>
      </c>
    </row>
    <row r="60" spans="1:3" x14ac:dyDescent="0.25">
      <c r="A60" s="101" t="s">
        <v>289</v>
      </c>
      <c r="B60" s="22" t="b">
        <f>_xll.qlInstrumentSetPricingEngine(B58,B59)</f>
        <v>1</v>
      </c>
      <c r="C60" s="48" t="b">
        <f>_xll.qlInstrumentSetPricingEngine(C58,C59)</f>
        <v>1</v>
      </c>
    </row>
    <row r="61" spans="1:3" x14ac:dyDescent="0.25">
      <c r="A61" s="102" t="s">
        <v>287</v>
      </c>
      <c r="B61" s="25">
        <f>_xll.qlYoYInflationCapFloorOptionletPrices(B58,B60)</f>
        <v>19.274303393595094</v>
      </c>
      <c r="C61" s="25">
        <f>_xll.qlYoYInflationCapFloorOptionletPrices(C58,C60)</f>
        <v>201.70136699978789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8CF11-2F07-46D6-BD29-12487831C5F5}">
  <dimension ref="A1:D5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47.7109375" bestFit="1" customWidth="1"/>
    <col min="2" max="2" width="96" style="4" bestFit="1" customWidth="1"/>
  </cols>
  <sheetData>
    <row r="1" spans="1:4" x14ac:dyDescent="0.25">
      <c r="A1" t="s">
        <v>2</v>
      </c>
      <c r="B1" s="2">
        <v>45292</v>
      </c>
      <c r="C1" s="3"/>
      <c r="D1" s="3"/>
    </row>
    <row r="2" spans="1:4" x14ac:dyDescent="0.25">
      <c r="A2" t="s">
        <v>3</v>
      </c>
      <c r="B2" s="2">
        <f>_xll.qlSettingsSetEvaluationDate(B1)</f>
        <v>45292</v>
      </c>
      <c r="C2" s="3"/>
      <c r="D2" s="3"/>
    </row>
    <row r="4" spans="1:4" x14ac:dyDescent="0.25">
      <c r="A4" s="85" t="s">
        <v>91</v>
      </c>
      <c r="B4" s="46">
        <v>45658</v>
      </c>
    </row>
    <row r="5" spans="1:4" x14ac:dyDescent="0.25">
      <c r="A5" s="88" t="s">
        <v>92</v>
      </c>
      <c r="B5" s="50">
        <v>1000</v>
      </c>
    </row>
    <row r="6" spans="1:4" x14ac:dyDescent="0.25">
      <c r="A6" s="88" t="s">
        <v>93</v>
      </c>
      <c r="B6" s="55">
        <v>45292</v>
      </c>
    </row>
    <row r="7" spans="1:4" x14ac:dyDescent="0.25">
      <c r="A7" s="88" t="s">
        <v>94</v>
      </c>
      <c r="B7" s="55">
        <v>45658</v>
      </c>
    </row>
    <row r="8" spans="1:4" x14ac:dyDescent="0.25">
      <c r="A8" s="88" t="s">
        <v>95</v>
      </c>
      <c r="B8" s="50">
        <v>0</v>
      </c>
    </row>
    <row r="9" spans="1:4" x14ac:dyDescent="0.25">
      <c r="A9" s="64" t="s">
        <v>18</v>
      </c>
      <c r="B9" s="46">
        <v>45292</v>
      </c>
    </row>
    <row r="10" spans="1:4" x14ac:dyDescent="0.25">
      <c r="A10" s="65" t="s">
        <v>18</v>
      </c>
      <c r="B10" s="55">
        <v>45658</v>
      </c>
    </row>
    <row r="11" spans="1:4" x14ac:dyDescent="0.25">
      <c r="A11" s="65" t="s">
        <v>19</v>
      </c>
      <c r="B11" s="57">
        <v>0.01</v>
      </c>
    </row>
    <row r="12" spans="1:4" x14ac:dyDescent="0.25">
      <c r="A12" s="65" t="s">
        <v>19</v>
      </c>
      <c r="B12" s="57">
        <v>0.02</v>
      </c>
    </row>
    <row r="13" spans="1:4" x14ac:dyDescent="0.25">
      <c r="A13" s="65" t="s">
        <v>15</v>
      </c>
      <c r="B13" s="61" t="str">
        <f>_xll.qlYoYInflationCurve($B$2,B9:B10,B11:B12,"semiannual","act/360",,B2)</f>
        <v>欣[test_inflation.xlsx]YoYInflationCap!R13C2YoYInflationTermStructureHandle,A</v>
      </c>
    </row>
    <row r="14" spans="1:4" x14ac:dyDescent="0.25">
      <c r="A14" s="158" t="s">
        <v>90</v>
      </c>
      <c r="B14" s="81" t="str">
        <f>_xll.qlYYEUHICP(B13,B13)</f>
        <v>欣[test_inflation.xlsx]YoYInflationCap!R14C2YYEUHICP,A</v>
      </c>
    </row>
    <row r="15" spans="1:4" x14ac:dyDescent="0.25">
      <c r="A15" s="166" t="s">
        <v>54</v>
      </c>
      <c r="B15" s="55" t="s">
        <v>17</v>
      </c>
    </row>
    <row r="16" spans="1:4" x14ac:dyDescent="0.25">
      <c r="A16" s="166" t="s">
        <v>96</v>
      </c>
      <c r="B16" s="55" t="s">
        <v>80</v>
      </c>
    </row>
    <row r="17" spans="1:4" x14ac:dyDescent="0.25">
      <c r="A17" s="166" t="s">
        <v>31</v>
      </c>
      <c r="B17" s="57" t="s">
        <v>52</v>
      </c>
    </row>
    <row r="18" spans="1:4" x14ac:dyDescent="0.25">
      <c r="A18" s="165" t="s">
        <v>297</v>
      </c>
      <c r="B18" s="56" t="str">
        <f>_xll.qlYoYInflationCoupon(B4,B5,B6,B7,B8,B14,B15,B16,B17,,,,,B14)</f>
        <v>欣[test_inflation.xlsx]YoYInflationCap!R18C2YoYInflationCoupon,A</v>
      </c>
    </row>
    <row r="19" spans="1:4" x14ac:dyDescent="0.25">
      <c r="A19" s="94" t="s">
        <v>298</v>
      </c>
      <c r="B19" s="57">
        <v>0.02</v>
      </c>
    </row>
    <row r="20" spans="1:4" x14ac:dyDescent="0.25">
      <c r="A20" s="47" t="s">
        <v>299</v>
      </c>
      <c r="B20" s="48" t="str">
        <f>_xll.qlYoYInflationCap(B18,B19,B18)</f>
        <v>欣[test_inflation.xlsx]YoYInflationCap!R20C2YoYInflationCap,A</v>
      </c>
    </row>
    <row r="22" spans="1:4" x14ac:dyDescent="0.25">
      <c r="A22" s="85" t="s">
        <v>90</v>
      </c>
      <c r="B22" s="46" t="str">
        <f>B14</f>
        <v>欣[test_inflation.xlsx]YoYInflationCap!R14C2YYEUHICP,A</v>
      </c>
    </row>
    <row r="23" spans="1:4" x14ac:dyDescent="0.25">
      <c r="A23" s="88" t="s">
        <v>105</v>
      </c>
      <c r="B23" s="162">
        <v>2</v>
      </c>
    </row>
    <row r="24" spans="1:4" x14ac:dyDescent="0.25">
      <c r="A24" s="88" t="s">
        <v>75</v>
      </c>
      <c r="B24" s="105" t="s">
        <v>78</v>
      </c>
      <c r="C24" s="51"/>
      <c r="D24" s="51"/>
    </row>
    <row r="25" spans="1:4" x14ac:dyDescent="0.25">
      <c r="A25" s="88" t="s">
        <v>76</v>
      </c>
      <c r="B25" s="105" t="s">
        <v>79</v>
      </c>
      <c r="C25" s="51"/>
      <c r="D25" s="51"/>
    </row>
    <row r="26" spans="1:4" x14ac:dyDescent="0.25">
      <c r="A26" s="88" t="s">
        <v>31</v>
      </c>
      <c r="B26" s="106" t="s">
        <v>52</v>
      </c>
      <c r="C26" s="51"/>
      <c r="D26" s="51"/>
    </row>
    <row r="27" spans="1:4" x14ac:dyDescent="0.25">
      <c r="A27" s="88" t="s">
        <v>73</v>
      </c>
      <c r="B27" s="106" t="s">
        <v>17</v>
      </c>
      <c r="C27" s="51"/>
      <c r="D27" s="51"/>
    </row>
    <row r="28" spans="1:4" x14ac:dyDescent="0.25">
      <c r="A28" s="88" t="s">
        <v>12</v>
      </c>
      <c r="B28" s="106" t="s">
        <v>81</v>
      </c>
      <c r="C28" s="51"/>
      <c r="D28" s="51"/>
    </row>
    <row r="29" spans="1:4" x14ac:dyDescent="0.25">
      <c r="A29" s="88" t="s">
        <v>106</v>
      </c>
      <c r="B29" s="106" t="b">
        <v>0</v>
      </c>
      <c r="C29" s="51"/>
      <c r="D29" s="51"/>
    </row>
    <row r="30" spans="1:4" x14ac:dyDescent="0.25">
      <c r="A30" s="85" t="s">
        <v>18</v>
      </c>
      <c r="B30" s="180">
        <v>45292</v>
      </c>
      <c r="C30" s="51"/>
      <c r="D30" s="51"/>
    </row>
    <row r="31" spans="1:4" x14ac:dyDescent="0.25">
      <c r="A31" s="88" t="s">
        <v>18</v>
      </c>
      <c r="B31" s="107">
        <v>45658</v>
      </c>
      <c r="C31" s="51"/>
      <c r="D31" s="51"/>
    </row>
    <row r="32" spans="1:4" x14ac:dyDescent="0.25">
      <c r="A32" s="158" t="s">
        <v>18</v>
      </c>
      <c r="B32" s="181">
        <v>46023</v>
      </c>
      <c r="C32" s="51"/>
      <c r="D32" s="51"/>
    </row>
    <row r="33" spans="1:4" x14ac:dyDescent="0.25">
      <c r="A33" s="88" t="s">
        <v>107</v>
      </c>
      <c r="B33" s="105">
        <v>0.02</v>
      </c>
      <c r="C33" s="51"/>
      <c r="D33" s="51"/>
    </row>
    <row r="34" spans="1:4" x14ac:dyDescent="0.25">
      <c r="A34" s="88" t="s">
        <v>107</v>
      </c>
      <c r="B34" s="105">
        <v>2.5000000000000001E-2</v>
      </c>
      <c r="C34" s="51"/>
      <c r="D34" s="51"/>
    </row>
    <row r="35" spans="1:4" x14ac:dyDescent="0.25">
      <c r="A35" s="88" t="s">
        <v>107</v>
      </c>
      <c r="B35" s="105">
        <v>0.03</v>
      </c>
      <c r="C35" s="51"/>
      <c r="D35" s="51"/>
    </row>
    <row r="36" spans="1:4" x14ac:dyDescent="0.25">
      <c r="A36" s="85" t="s">
        <v>108</v>
      </c>
      <c r="B36" s="179">
        <v>0.01</v>
      </c>
      <c r="C36" s="51"/>
      <c r="D36" s="51"/>
    </row>
    <row r="37" spans="1:4" x14ac:dyDescent="0.25">
      <c r="A37" s="88" t="s">
        <v>109</v>
      </c>
      <c r="B37" s="57">
        <v>0.1</v>
      </c>
      <c r="C37" s="51"/>
      <c r="D37" s="51"/>
    </row>
    <row r="38" spans="1:4" x14ac:dyDescent="0.25">
      <c r="A38" s="163" t="s">
        <v>110</v>
      </c>
      <c r="B38" s="48" t="str">
        <f>_xll.qlInterpolatedYoYInflationOptionletVolatilityCurve(B23,B24,B25,B26,B27,B28,B29,B30:B32,B33:B35,B36,B37,B20)</f>
        <v>欣[test_inflation.xlsx]YoYInflationCap!R38C2YoYOptionletVolatilitySurfaceHandle,A</v>
      </c>
      <c r="C38" s="51"/>
      <c r="D38" s="51"/>
    </row>
    <row r="39" spans="1:4" x14ac:dyDescent="0.25">
      <c r="A39" s="164" t="s">
        <v>252</v>
      </c>
      <c r="B39" s="75" t="str">
        <f>_xll.qlFlatForward($B$2,0.03,"actual365fixed",,,B38)</f>
        <v>欣[test_inflation.xlsx]YoYInflationCap!R39C2YieldTermStructureHandle,A</v>
      </c>
      <c r="C39" s="51"/>
      <c r="D39" s="51"/>
    </row>
    <row r="40" spans="1:4" x14ac:dyDescent="0.25">
      <c r="A40" s="110" t="s">
        <v>291</v>
      </c>
      <c r="B40" s="109" t="str">
        <f>_xll.qlYoYInflationCap(B18,B19,B39)</f>
        <v>欣[test_inflation.xlsx]YoYInflationCap!R40C2YoYInflationCap,A</v>
      </c>
      <c r="C40" s="51"/>
      <c r="D40" s="51"/>
    </row>
    <row r="41" spans="1:4" x14ac:dyDescent="0.25">
      <c r="A41" s="111" t="s">
        <v>290</v>
      </c>
      <c r="B41" s="57" t="str">
        <f>_xll.qlYoYInflationBlackCapFloorEngine(B22,B38,B39,40)</f>
        <v>欣[test_inflation.xlsx]YoYInflationCap!R41C2YoYInflationBlackCapFloorEngine,A</v>
      </c>
    </row>
    <row r="42" spans="1:4" x14ac:dyDescent="0.25">
      <c r="A42" s="101" t="s">
        <v>289</v>
      </c>
      <c r="B42" s="57" t="b">
        <f>_xll.qlInstrumentSetPricingEngine(B40,B41)</f>
        <v>1</v>
      </c>
    </row>
    <row r="43" spans="1:4" x14ac:dyDescent="0.25">
      <c r="A43" s="102" t="s">
        <v>287</v>
      </c>
      <c r="B43" s="48">
        <f>_xll.qlYoYInflationCapFloorOptionletPrices(B40,B42)</f>
        <v>2.0011632032711441E-49</v>
      </c>
    </row>
    <row r="44" spans="1:4" x14ac:dyDescent="0.25">
      <c r="A44" s="110" t="s">
        <v>292</v>
      </c>
      <c r="B44" s="109" t="str">
        <f>_xll.qlYoYInflationCap(B18,B19,B43)</f>
        <v>欣[test_inflation.xlsx]YoYInflationCap!R44C2YoYInflationCap,A</v>
      </c>
    </row>
    <row r="45" spans="1:4" x14ac:dyDescent="0.25">
      <c r="A45" s="111" t="s">
        <v>288</v>
      </c>
      <c r="B45" s="57" t="str">
        <f>_xll.qlYoYInflationBachelierCapFloorEngine(B22,B38,B39,B44)</f>
        <v>欣[test_inflation.xlsx]YoYInflationCap!R45C2YoYInflationBachelierCapFloorEngine,A</v>
      </c>
    </row>
    <row r="46" spans="1:4" x14ac:dyDescent="0.25">
      <c r="A46" s="101" t="s">
        <v>289</v>
      </c>
      <c r="B46" s="57" t="b">
        <f>_xll.qlInstrumentSetPricingEngine(B44,B45)</f>
        <v>1</v>
      </c>
    </row>
    <row r="47" spans="1:4" x14ac:dyDescent="0.25">
      <c r="A47" s="102" t="s">
        <v>287</v>
      </c>
      <c r="B47" s="48">
        <f>_xll.qlYoYInflationCapFloorOptionletPrices(B44,B46)</f>
        <v>5.5617455339463024</v>
      </c>
    </row>
    <row r="48" spans="1:4" x14ac:dyDescent="0.25">
      <c r="A48" s="110" t="s">
        <v>293</v>
      </c>
      <c r="B48" s="109" t="str">
        <f>_xll.qlYoYInflationCap(B18,B19,B47)</f>
        <v>欣[test_inflation.xlsx]YoYInflationCap!R48C2YoYInflationCap,A</v>
      </c>
    </row>
    <row r="49" spans="1:2" x14ac:dyDescent="0.25">
      <c r="A49" s="111" t="s">
        <v>250</v>
      </c>
      <c r="B49" s="57" t="str">
        <f>_xll.qlYoYInflationUnitDisplacedBlackCapFloorEngine(B22,B38,B39,B48)</f>
        <v>欣[test_inflation.xlsx]YoYInflationCap!R49C2YoYInflationUnitDisplacedBlackCapFloorEngine,A</v>
      </c>
    </row>
    <row r="50" spans="1:2" x14ac:dyDescent="0.25">
      <c r="A50" s="101" t="s">
        <v>289</v>
      </c>
      <c r="B50" s="57" t="b">
        <f>_xll.qlInstrumentSetPricingEngine(B48,B49)</f>
        <v>1</v>
      </c>
    </row>
    <row r="51" spans="1:2" x14ac:dyDescent="0.25">
      <c r="A51" s="102" t="s">
        <v>287</v>
      </c>
      <c r="B51" s="48">
        <f>_xll.qlYoYInflationCapFloorOptionletPrices(B48,B50)</f>
        <v>5.6932089577821436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7047F-D0CC-46AD-99FF-42D555BA0B8B}">
  <dimension ref="A1:G5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47.7109375" bestFit="1" customWidth="1"/>
    <col min="2" max="2" width="96" style="4" bestFit="1" customWidth="1"/>
  </cols>
  <sheetData>
    <row r="1" spans="1:4" x14ac:dyDescent="0.25">
      <c r="A1" t="s">
        <v>2</v>
      </c>
      <c r="B1" s="2">
        <v>45292</v>
      </c>
      <c r="C1" s="3"/>
      <c r="D1" s="3"/>
    </row>
    <row r="2" spans="1:4" x14ac:dyDescent="0.25">
      <c r="A2" t="s">
        <v>3</v>
      </c>
      <c r="B2" s="2">
        <f>_xll.qlSettingsSetEvaluationDate(B1)</f>
        <v>45292</v>
      </c>
      <c r="C2" s="3"/>
      <c r="D2" s="3"/>
    </row>
    <row r="4" spans="1:4" x14ac:dyDescent="0.25">
      <c r="A4" s="85" t="s">
        <v>91</v>
      </c>
      <c r="B4" s="46">
        <v>45658</v>
      </c>
    </row>
    <row r="5" spans="1:4" x14ac:dyDescent="0.25">
      <c r="A5" s="88" t="s">
        <v>92</v>
      </c>
      <c r="B5" s="50">
        <v>1000</v>
      </c>
    </row>
    <row r="6" spans="1:4" x14ac:dyDescent="0.25">
      <c r="A6" s="88" t="s">
        <v>93</v>
      </c>
      <c r="B6" s="55">
        <v>45292</v>
      </c>
    </row>
    <row r="7" spans="1:4" x14ac:dyDescent="0.25">
      <c r="A7" s="88" t="s">
        <v>94</v>
      </c>
      <c r="B7" s="55">
        <v>45658</v>
      </c>
    </row>
    <row r="8" spans="1:4" x14ac:dyDescent="0.25">
      <c r="A8" s="88" t="s">
        <v>95</v>
      </c>
      <c r="B8" s="50">
        <v>0</v>
      </c>
    </row>
    <row r="9" spans="1:4" x14ac:dyDescent="0.25">
      <c r="A9" s="168" t="s">
        <v>18</v>
      </c>
      <c r="B9" s="46">
        <v>45292</v>
      </c>
    </row>
    <row r="10" spans="1:4" x14ac:dyDescent="0.25">
      <c r="A10" s="167" t="s">
        <v>18</v>
      </c>
      <c r="B10" s="55">
        <v>45658</v>
      </c>
    </row>
    <row r="11" spans="1:4" x14ac:dyDescent="0.25">
      <c r="A11" s="167" t="s">
        <v>19</v>
      </c>
      <c r="B11" s="57">
        <v>0.01</v>
      </c>
    </row>
    <row r="12" spans="1:4" x14ac:dyDescent="0.25">
      <c r="A12" s="167" t="s">
        <v>19</v>
      </c>
      <c r="B12" s="57">
        <v>0.02</v>
      </c>
    </row>
    <row r="13" spans="1:4" x14ac:dyDescent="0.25">
      <c r="A13" s="167" t="s">
        <v>15</v>
      </c>
      <c r="B13" s="61" t="str">
        <f>_xll.qlYoYInflationCurve($B$2,B9:B10,B11:B12,"semiannual","act/360",,B2)</f>
        <v>欣[test_inflation.xlsx]YoYInflationFloor!R13C2YoYInflationTermStructureHandle,A</v>
      </c>
    </row>
    <row r="14" spans="1:4" x14ac:dyDescent="0.25">
      <c r="A14" s="158" t="s">
        <v>90</v>
      </c>
      <c r="B14" s="81" t="str">
        <f>_xll.qlYYEUHICP(B13,B13)</f>
        <v>欣[test_inflation.xlsx]YoYInflationFloor!R14C2YYEUHICP,A</v>
      </c>
    </row>
    <row r="15" spans="1:4" x14ac:dyDescent="0.25">
      <c r="A15" s="167" t="s">
        <v>54</v>
      </c>
      <c r="B15" s="55" t="s">
        <v>17</v>
      </c>
    </row>
    <row r="16" spans="1:4" x14ac:dyDescent="0.25">
      <c r="A16" s="167" t="s">
        <v>96</v>
      </c>
      <c r="B16" s="55" t="s">
        <v>80</v>
      </c>
    </row>
    <row r="17" spans="1:7" x14ac:dyDescent="0.25">
      <c r="A17" s="167" t="s">
        <v>31</v>
      </c>
      <c r="B17" s="57" t="s">
        <v>52</v>
      </c>
    </row>
    <row r="18" spans="1:7" x14ac:dyDescent="0.25">
      <c r="A18" s="165" t="s">
        <v>297</v>
      </c>
      <c r="B18" s="56" t="str">
        <f>_xll.qlYoYInflationCoupon(B4,B5,B6,B7,B8,B14,B15,B16,B17,,,,,B14)</f>
        <v>欣[test_inflation.xlsx]YoYInflationFloor!R18C2YoYInflationCoupon,A</v>
      </c>
    </row>
    <row r="19" spans="1:7" x14ac:dyDescent="0.25">
      <c r="A19" s="94" t="s">
        <v>301</v>
      </c>
      <c r="B19" s="57">
        <v>0.02</v>
      </c>
    </row>
    <row r="20" spans="1:7" x14ac:dyDescent="0.25">
      <c r="A20" s="47" t="s">
        <v>300</v>
      </c>
      <c r="B20" s="48" t="str">
        <f>_xll.qlYoYInflationFloor(B18,B19,B18)</f>
        <v>欣[test_inflation.xlsx]YoYInflationFloor!R20C2YoYInflationFloor,A</v>
      </c>
    </row>
    <row r="22" spans="1:7" x14ac:dyDescent="0.25">
      <c r="A22" s="85" t="s">
        <v>90</v>
      </c>
      <c r="B22" s="46" t="str">
        <f>B14</f>
        <v>欣[test_inflation.xlsx]YoYInflationFloor!R14C2YYEUHICP,A</v>
      </c>
    </row>
    <row r="23" spans="1:7" x14ac:dyDescent="0.25">
      <c r="A23" s="88" t="s">
        <v>105</v>
      </c>
      <c r="B23" s="162">
        <v>2</v>
      </c>
    </row>
    <row r="24" spans="1:7" x14ac:dyDescent="0.25">
      <c r="A24" s="88" t="s">
        <v>75</v>
      </c>
      <c r="B24" s="105" t="s">
        <v>78</v>
      </c>
    </row>
    <row r="25" spans="1:7" x14ac:dyDescent="0.25">
      <c r="A25" s="88" t="s">
        <v>76</v>
      </c>
      <c r="B25" s="105" t="s">
        <v>79</v>
      </c>
    </row>
    <row r="26" spans="1:7" x14ac:dyDescent="0.25">
      <c r="A26" s="88" t="s">
        <v>31</v>
      </c>
      <c r="B26" s="106" t="s">
        <v>52</v>
      </c>
      <c r="C26" s="51"/>
      <c r="D26" s="51"/>
      <c r="E26" s="51"/>
      <c r="F26" s="51"/>
      <c r="G26" s="51"/>
    </row>
    <row r="27" spans="1:7" x14ac:dyDescent="0.25">
      <c r="A27" s="88" t="s">
        <v>73</v>
      </c>
      <c r="B27" s="106" t="s">
        <v>17</v>
      </c>
      <c r="C27" s="51"/>
      <c r="D27" s="51"/>
      <c r="E27" s="51"/>
      <c r="F27" s="51"/>
      <c r="G27" s="51"/>
    </row>
    <row r="28" spans="1:7" x14ac:dyDescent="0.25">
      <c r="A28" s="88" t="s">
        <v>12</v>
      </c>
      <c r="B28" s="106" t="s">
        <v>81</v>
      </c>
      <c r="C28" s="51"/>
      <c r="D28" s="51"/>
      <c r="E28" s="51"/>
      <c r="F28" s="51"/>
      <c r="G28" s="51"/>
    </row>
    <row r="29" spans="1:7" x14ac:dyDescent="0.25">
      <c r="A29" s="88" t="s">
        <v>106</v>
      </c>
      <c r="B29" s="106" t="b">
        <v>0</v>
      </c>
      <c r="C29" s="51"/>
      <c r="D29" s="51"/>
      <c r="E29" s="51"/>
      <c r="F29" s="51"/>
      <c r="G29" s="51"/>
    </row>
    <row r="30" spans="1:7" x14ac:dyDescent="0.25">
      <c r="A30" s="85" t="s">
        <v>18</v>
      </c>
      <c r="B30" s="180">
        <v>45292</v>
      </c>
      <c r="C30" s="51"/>
      <c r="D30" s="51"/>
      <c r="E30" s="51"/>
      <c r="F30" s="51"/>
      <c r="G30" s="51"/>
    </row>
    <row r="31" spans="1:7" x14ac:dyDescent="0.25">
      <c r="A31" s="88" t="s">
        <v>18</v>
      </c>
      <c r="B31" s="107">
        <v>45658</v>
      </c>
      <c r="C31" s="51"/>
      <c r="D31" s="51"/>
      <c r="E31" s="51"/>
      <c r="F31" s="51"/>
      <c r="G31" s="51"/>
    </row>
    <row r="32" spans="1:7" x14ac:dyDescent="0.25">
      <c r="A32" s="158" t="s">
        <v>18</v>
      </c>
      <c r="B32" s="181">
        <v>46023</v>
      </c>
      <c r="C32" s="51"/>
      <c r="D32" s="51"/>
      <c r="E32" s="51"/>
      <c r="F32" s="51"/>
      <c r="G32" s="51"/>
    </row>
    <row r="33" spans="1:7" x14ac:dyDescent="0.25">
      <c r="A33" s="85" t="s">
        <v>107</v>
      </c>
      <c r="B33" s="179">
        <v>0.02</v>
      </c>
      <c r="C33" s="51"/>
      <c r="D33" s="51"/>
      <c r="E33" s="51"/>
      <c r="F33" s="51"/>
      <c r="G33" s="51"/>
    </row>
    <row r="34" spans="1:7" x14ac:dyDescent="0.25">
      <c r="A34" s="88" t="s">
        <v>107</v>
      </c>
      <c r="B34" s="105">
        <v>2.5000000000000001E-2</v>
      </c>
      <c r="C34" s="51"/>
      <c r="D34" s="51"/>
      <c r="E34" s="51"/>
      <c r="F34" s="51"/>
      <c r="G34" s="51"/>
    </row>
    <row r="35" spans="1:7" x14ac:dyDescent="0.25">
      <c r="A35" s="158" t="s">
        <v>107</v>
      </c>
      <c r="B35" s="186">
        <v>0.03</v>
      </c>
      <c r="C35" s="51"/>
      <c r="D35" s="51"/>
      <c r="E35" s="51"/>
      <c r="F35" s="51"/>
      <c r="G35" s="51"/>
    </row>
    <row r="36" spans="1:7" x14ac:dyDescent="0.25">
      <c r="A36" s="88" t="s">
        <v>108</v>
      </c>
      <c r="B36" s="105">
        <v>0.01</v>
      </c>
      <c r="C36" s="51"/>
      <c r="D36" s="51"/>
      <c r="E36" s="51"/>
      <c r="F36" s="51"/>
      <c r="G36" s="51"/>
    </row>
    <row r="37" spans="1:7" x14ac:dyDescent="0.25">
      <c r="A37" s="88" t="s">
        <v>109</v>
      </c>
      <c r="B37" s="57">
        <v>0.1</v>
      </c>
      <c r="C37" s="51"/>
      <c r="D37" s="51"/>
      <c r="E37" s="51"/>
      <c r="F37" s="51"/>
      <c r="G37" s="51"/>
    </row>
    <row r="38" spans="1:7" x14ac:dyDescent="0.25">
      <c r="A38" s="163" t="s">
        <v>110</v>
      </c>
      <c r="B38" s="48" t="str">
        <f>_xll.qlInterpolatedYoYInflationOptionletVolatilityCurve(B23,B24,B25,B26,B27,B28,B29,B30:B32,B33:B35,B36,B37,B20)</f>
        <v>欣[test_inflation.xlsx]YoYInflationFloor!R38C2YoYOptionletVolatilitySurfaceHandle,A</v>
      </c>
      <c r="C38" s="51"/>
      <c r="D38" s="51"/>
      <c r="E38" s="51"/>
      <c r="F38" s="51"/>
      <c r="G38" s="51"/>
    </row>
    <row r="39" spans="1:7" x14ac:dyDescent="0.25">
      <c r="A39" s="164" t="s">
        <v>252</v>
      </c>
      <c r="B39" s="75" t="str">
        <f>_xll.qlFlatForward($B$2,0.03,"actual365fixed",,,B38)</f>
        <v>欣[test_inflation.xlsx]YoYInflationFloor!R39C2YieldTermStructureHandle,A</v>
      </c>
      <c r="C39" s="51"/>
      <c r="D39" s="51"/>
      <c r="E39" s="51"/>
      <c r="F39" s="51"/>
      <c r="G39" s="51"/>
    </row>
    <row r="40" spans="1:7" x14ac:dyDescent="0.25">
      <c r="A40" s="110" t="s">
        <v>291</v>
      </c>
      <c r="B40" s="109" t="str">
        <f>_xll.qlYoYInflationFloor(B18,B19,B39)</f>
        <v>欣[test_inflation.xlsx]YoYInflationFloor!R40C2YoYInflationFloor,A</v>
      </c>
      <c r="C40" s="51"/>
      <c r="D40" s="51"/>
      <c r="E40" s="51"/>
      <c r="F40" s="51"/>
      <c r="G40" s="51"/>
    </row>
    <row r="41" spans="1:7" x14ac:dyDescent="0.25">
      <c r="A41" s="111" t="s">
        <v>290</v>
      </c>
      <c r="B41" s="57" t="str">
        <f>_xll.qlYoYInflationBlackCapFloorEngine(B22,B38,B39,B40)</f>
        <v>欣[test_inflation.xlsx]YoYInflationFloor!R41C2YoYInflationBlackCapFloorEngine,A</v>
      </c>
      <c r="C41" s="51"/>
      <c r="D41" s="51"/>
      <c r="E41" s="51"/>
      <c r="F41" s="51"/>
      <c r="G41" s="51"/>
    </row>
    <row r="42" spans="1:7" x14ac:dyDescent="0.25">
      <c r="A42" s="101" t="s">
        <v>289</v>
      </c>
      <c r="B42" s="57" t="b">
        <f>_xll.qlInstrumentSetPricingEngine(B40,B41)</f>
        <v>1</v>
      </c>
      <c r="C42" s="51"/>
      <c r="D42" s="51"/>
      <c r="E42" s="51"/>
      <c r="F42" s="51"/>
      <c r="G42" s="51"/>
    </row>
    <row r="43" spans="1:7" x14ac:dyDescent="0.25">
      <c r="A43" s="102" t="s">
        <v>287</v>
      </c>
      <c r="B43" s="48">
        <f>_xll.qlYoYInflationCapFloorOptionletPrices(B40,B42)</f>
        <v>4.8917069164129474</v>
      </c>
      <c r="C43" s="51"/>
      <c r="D43" s="51"/>
      <c r="E43" s="51"/>
      <c r="F43" s="51"/>
      <c r="G43" s="51"/>
    </row>
    <row r="44" spans="1:7" x14ac:dyDescent="0.25">
      <c r="A44" s="110" t="s">
        <v>292</v>
      </c>
      <c r="B44" s="109" t="str">
        <f>_xll.qlYoYInflationFloor(B18,B19,B43)</f>
        <v>欣[test_inflation.xlsx]YoYInflationFloor!R44C2YoYInflationFloor,A</v>
      </c>
      <c r="C44" s="51"/>
      <c r="D44" s="51"/>
      <c r="E44" s="51"/>
      <c r="F44" s="51"/>
      <c r="G44" s="51"/>
    </row>
    <row r="45" spans="1:7" x14ac:dyDescent="0.25">
      <c r="A45" s="111" t="s">
        <v>288</v>
      </c>
      <c r="B45" s="57" t="str">
        <f>_xll.qlYoYInflationBachelierCapFloorEngine(B22,B38,B39,B44)</f>
        <v>欣[test_inflation.xlsx]YoYInflationFloor!R45C2YoYInflationBachelierCapFloorEngine,A</v>
      </c>
    </row>
    <row r="46" spans="1:7" x14ac:dyDescent="0.25">
      <c r="A46" s="101" t="s">
        <v>289</v>
      </c>
      <c r="B46" s="57" t="b">
        <f>_xll.qlInstrumentSetPricingEngine(B44,B45)</f>
        <v>1</v>
      </c>
    </row>
    <row r="47" spans="1:7" x14ac:dyDescent="0.25">
      <c r="A47" s="102" t="s">
        <v>287</v>
      </c>
      <c r="B47" s="48">
        <f>_xll.qlYoYInflationCapFloorOptionletPrices(B44,B46)</f>
        <v>10.453452450359251</v>
      </c>
    </row>
    <row r="48" spans="1:7" x14ac:dyDescent="0.25">
      <c r="A48" s="110" t="s">
        <v>293</v>
      </c>
      <c r="B48" s="109" t="str">
        <f>_xll.qlYoYInflationFloor(B18,B19,B47)</f>
        <v>欣[test_inflation.xlsx]YoYInflationFloor!R48C2YoYInflationFloor,A</v>
      </c>
    </row>
    <row r="49" spans="1:2" x14ac:dyDescent="0.25">
      <c r="A49" s="111" t="s">
        <v>250</v>
      </c>
      <c r="B49" s="57" t="str">
        <f>_xll.qlYoYInflationUnitDisplacedBlackCapFloorEngine(B22,B38,B39,B48)</f>
        <v>欣[test_inflation.xlsx]YoYInflationFloor!R49C2YoYInflationUnitDisplacedBlackCapFloorEngine,A</v>
      </c>
    </row>
    <row r="50" spans="1:2" x14ac:dyDescent="0.25">
      <c r="A50" s="101" t="s">
        <v>289</v>
      </c>
      <c r="B50" s="57" t="b">
        <f>_xll.qlInstrumentSetPricingEngine(B48,B49)</f>
        <v>1</v>
      </c>
    </row>
    <row r="51" spans="1:2" x14ac:dyDescent="0.25">
      <c r="A51" s="102" t="s">
        <v>287</v>
      </c>
      <c r="B51" s="48">
        <f>_xll.qlYoYInflationCapFloorOptionletPrices(B48,B50)</f>
        <v>10.584915874195046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C4C65-D877-46BD-86EA-1C9A95AF7F9D}">
  <dimension ref="A1:D5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47.7109375" bestFit="1" customWidth="1"/>
    <col min="2" max="2" width="96" style="4" bestFit="1" customWidth="1"/>
  </cols>
  <sheetData>
    <row r="1" spans="1:4" x14ac:dyDescent="0.25">
      <c r="A1" t="s">
        <v>2</v>
      </c>
      <c r="B1" s="2">
        <v>45292</v>
      </c>
      <c r="C1" s="3"/>
      <c r="D1" s="3"/>
    </row>
    <row r="2" spans="1:4" x14ac:dyDescent="0.25">
      <c r="A2" t="s">
        <v>3</v>
      </c>
      <c r="B2" s="2">
        <f>_xll.qlSettingsSetEvaluationDate(B1)</f>
        <v>45292</v>
      </c>
      <c r="C2" s="3"/>
      <c r="D2" s="3"/>
    </row>
    <row r="4" spans="1:4" x14ac:dyDescent="0.25">
      <c r="A4" s="85" t="s">
        <v>91</v>
      </c>
      <c r="B4" s="171">
        <v>45658</v>
      </c>
    </row>
    <row r="5" spans="1:4" x14ac:dyDescent="0.25">
      <c r="A5" s="88" t="s">
        <v>92</v>
      </c>
      <c r="B5" s="176">
        <v>1000</v>
      </c>
    </row>
    <row r="6" spans="1:4" x14ac:dyDescent="0.25">
      <c r="A6" s="88" t="s">
        <v>93</v>
      </c>
      <c r="B6" s="172">
        <v>45292</v>
      </c>
    </row>
    <row r="7" spans="1:4" x14ac:dyDescent="0.25">
      <c r="A7" s="88" t="s">
        <v>94</v>
      </c>
      <c r="B7" s="172">
        <v>45658</v>
      </c>
    </row>
    <row r="8" spans="1:4" x14ac:dyDescent="0.25">
      <c r="A8" s="88" t="s">
        <v>95</v>
      </c>
      <c r="B8" s="176">
        <v>0</v>
      </c>
    </row>
    <row r="9" spans="1:4" x14ac:dyDescent="0.25">
      <c r="A9" s="168" t="s">
        <v>18</v>
      </c>
      <c r="B9" s="171">
        <v>45292</v>
      </c>
    </row>
    <row r="10" spans="1:4" x14ac:dyDescent="0.25">
      <c r="A10" s="167" t="s">
        <v>18</v>
      </c>
      <c r="B10" s="172">
        <v>45658</v>
      </c>
    </row>
    <row r="11" spans="1:4" x14ac:dyDescent="0.25">
      <c r="A11" s="167" t="s">
        <v>19</v>
      </c>
      <c r="B11" s="173">
        <v>0.01</v>
      </c>
    </row>
    <row r="12" spans="1:4" x14ac:dyDescent="0.25">
      <c r="A12" s="167" t="s">
        <v>19</v>
      </c>
      <c r="B12" s="173">
        <v>0.02</v>
      </c>
    </row>
    <row r="13" spans="1:4" x14ac:dyDescent="0.25">
      <c r="A13" s="167" t="s">
        <v>15</v>
      </c>
      <c r="B13" s="174" t="str">
        <f>_xll.qlYoYInflationCurve($B$2,B9:B10,B11:B12,"semiannual","act/360",,B2)</f>
        <v>欣[test_inflation.xlsx]YoYInflationCollar!R13C2YoYInflationTermStructureHandle,A</v>
      </c>
    </row>
    <row r="14" spans="1:4" x14ac:dyDescent="0.25">
      <c r="A14" s="158" t="s">
        <v>90</v>
      </c>
      <c r="B14" s="175" t="str">
        <f>_xll.qlYYEUHICP(B13,B13)</f>
        <v>欣[test_inflation.xlsx]YoYInflationCollar!R14C2YYEUHICP,A</v>
      </c>
    </row>
    <row r="15" spans="1:4" x14ac:dyDescent="0.25">
      <c r="A15" s="167" t="s">
        <v>54</v>
      </c>
      <c r="B15" s="172" t="s">
        <v>17</v>
      </c>
    </row>
    <row r="16" spans="1:4" x14ac:dyDescent="0.25">
      <c r="A16" s="167" t="s">
        <v>96</v>
      </c>
      <c r="B16" s="172" t="s">
        <v>80</v>
      </c>
    </row>
    <row r="17" spans="1:2" x14ac:dyDescent="0.25">
      <c r="A17" s="167" t="s">
        <v>31</v>
      </c>
      <c r="B17" s="173" t="s">
        <v>52</v>
      </c>
    </row>
    <row r="18" spans="1:2" x14ac:dyDescent="0.25">
      <c r="A18" s="165" t="s">
        <v>297</v>
      </c>
      <c r="B18" s="177" t="str">
        <f>_xll.qlYoYInflationCoupon(B4,B5,B6,B7,B8,B14,B15,B16,B17,,,,,B14)</f>
        <v>欣[test_inflation.xlsx]YoYInflationCollar!R18C2YoYInflationCoupon,A</v>
      </c>
    </row>
    <row r="19" spans="1:2" x14ac:dyDescent="0.25">
      <c r="A19" s="16" t="s">
        <v>298</v>
      </c>
      <c r="B19" s="169">
        <v>0.05</v>
      </c>
    </row>
    <row r="20" spans="1:2" x14ac:dyDescent="0.25">
      <c r="A20" s="15" t="s">
        <v>301</v>
      </c>
      <c r="B20" s="170">
        <v>0.02</v>
      </c>
    </row>
    <row r="21" spans="1:2" x14ac:dyDescent="0.25">
      <c r="A21" s="1" t="s">
        <v>302</v>
      </c>
      <c r="B21" s="4" t="str">
        <f>_xll.qlYoYInflationCollar(B18,B19,B20,B18)</f>
        <v>欣[test_inflation.xlsx]YoYInflationCollar!R21C2YoYInflationCollar,A</v>
      </c>
    </row>
    <row r="23" spans="1:2" x14ac:dyDescent="0.25">
      <c r="A23" s="85" t="s">
        <v>90</v>
      </c>
      <c r="B23" s="46" t="str">
        <f>B14</f>
        <v>欣[test_inflation.xlsx]YoYInflationCollar!R14C2YYEUHICP,A</v>
      </c>
    </row>
    <row r="24" spans="1:2" x14ac:dyDescent="0.25">
      <c r="A24" s="88" t="s">
        <v>105</v>
      </c>
      <c r="B24" s="162">
        <v>2</v>
      </c>
    </row>
    <row r="25" spans="1:2" x14ac:dyDescent="0.25">
      <c r="A25" s="88" t="s">
        <v>75</v>
      </c>
      <c r="B25" s="105" t="s">
        <v>78</v>
      </c>
    </row>
    <row r="26" spans="1:2" x14ac:dyDescent="0.25">
      <c r="A26" s="88" t="s">
        <v>76</v>
      </c>
      <c r="B26" s="105" t="s">
        <v>79</v>
      </c>
    </row>
    <row r="27" spans="1:2" x14ac:dyDescent="0.25">
      <c r="A27" s="88" t="s">
        <v>31</v>
      </c>
      <c r="B27" s="106" t="s">
        <v>52</v>
      </c>
    </row>
    <row r="28" spans="1:2" x14ac:dyDescent="0.25">
      <c r="A28" s="88" t="s">
        <v>73</v>
      </c>
      <c r="B28" s="106" t="s">
        <v>17</v>
      </c>
    </row>
    <row r="29" spans="1:2" x14ac:dyDescent="0.25">
      <c r="A29" s="88" t="s">
        <v>12</v>
      </c>
      <c r="B29" s="106" t="s">
        <v>81</v>
      </c>
    </row>
    <row r="30" spans="1:2" x14ac:dyDescent="0.25">
      <c r="A30" s="88" t="s">
        <v>106</v>
      </c>
      <c r="B30" s="106" t="b">
        <v>0</v>
      </c>
    </row>
    <row r="31" spans="1:2" x14ac:dyDescent="0.25">
      <c r="A31" s="85" t="s">
        <v>18</v>
      </c>
      <c r="B31" s="28">
        <v>45292</v>
      </c>
    </row>
    <row r="32" spans="1:2" x14ac:dyDescent="0.25">
      <c r="A32" s="88" t="s">
        <v>18</v>
      </c>
      <c r="B32" s="29">
        <v>45658</v>
      </c>
    </row>
    <row r="33" spans="1:2" x14ac:dyDescent="0.25">
      <c r="A33" s="158" t="s">
        <v>18</v>
      </c>
      <c r="B33" s="30">
        <v>46023</v>
      </c>
    </row>
    <row r="34" spans="1:2" x14ac:dyDescent="0.25">
      <c r="A34" s="85" t="s">
        <v>107</v>
      </c>
      <c r="B34" s="31">
        <v>0.02</v>
      </c>
    </row>
    <row r="35" spans="1:2" x14ac:dyDescent="0.25">
      <c r="A35" s="88" t="s">
        <v>107</v>
      </c>
      <c r="B35" s="32">
        <v>2.5000000000000001E-2</v>
      </c>
    </row>
    <row r="36" spans="1:2" x14ac:dyDescent="0.25">
      <c r="A36" s="88" t="s">
        <v>107</v>
      </c>
      <c r="B36" s="32">
        <v>0.03</v>
      </c>
    </row>
    <row r="37" spans="1:2" x14ac:dyDescent="0.25">
      <c r="A37" s="85" t="s">
        <v>108</v>
      </c>
      <c r="B37" s="179">
        <v>0.01</v>
      </c>
    </row>
    <row r="38" spans="1:2" x14ac:dyDescent="0.25">
      <c r="A38" s="88" t="s">
        <v>109</v>
      </c>
      <c r="B38" s="57">
        <v>0.1</v>
      </c>
    </row>
    <row r="39" spans="1:2" x14ac:dyDescent="0.25">
      <c r="A39" s="163" t="s">
        <v>110</v>
      </c>
      <c r="B39" s="48" t="str">
        <f>_xll.qlInterpolatedYoYInflationOptionletVolatilityCurve(B24,B25,B26,B27,B28,B29,B30,B31:B33,B34:B36,B37,B38,B21)</f>
        <v>欣[test_inflation.xlsx]YoYInflationCollar!R39C2YoYOptionletVolatilitySurfaceHandle,A</v>
      </c>
    </row>
    <row r="40" spans="1:2" x14ac:dyDescent="0.25">
      <c r="A40" s="178" t="s">
        <v>252</v>
      </c>
      <c r="B40" s="48" t="str">
        <f>_xll.qlFlatForward($B$1,0.03,"actual365fixed",,,B39)</f>
        <v>欣[test_inflation.xlsx]YoYInflationCollar!R40C2YieldTermStructureHandle,A</v>
      </c>
    </row>
    <row r="41" spans="1:2" x14ac:dyDescent="0.25">
      <c r="A41" s="110" t="s">
        <v>291</v>
      </c>
      <c r="B41" s="109" t="str">
        <f>_xll.qlYoYInflationCollar(B18,B19,B20,B40)</f>
        <v>欣[test_inflation.xlsx]YoYInflationCollar!R41C2YoYInflationCollar,A</v>
      </c>
    </row>
    <row r="42" spans="1:2" x14ac:dyDescent="0.25">
      <c r="A42" s="111" t="s">
        <v>290</v>
      </c>
      <c r="B42" s="57" t="str">
        <f>_xll.qlYoYInflationBlackCapFloorEngine(B23,B39,B40,B41)</f>
        <v>欣[test_inflation.xlsx]YoYInflationCollar!R42C2YoYInflationBlackCapFloorEngine,A</v>
      </c>
    </row>
    <row r="43" spans="1:2" x14ac:dyDescent="0.25">
      <c r="A43" s="101" t="s">
        <v>289</v>
      </c>
      <c r="B43" s="57" t="b">
        <f>_xll.qlInstrumentSetPricingEngine(B41,B42)</f>
        <v>1</v>
      </c>
    </row>
    <row r="44" spans="1:2" x14ac:dyDescent="0.25">
      <c r="A44" s="102" t="s">
        <v>287</v>
      </c>
      <c r="B44" s="48">
        <f>_xll.qlYoYInflationCapFloorOptionletPrices(B41,B43)</f>
        <v>-4.8917069164129474</v>
      </c>
    </row>
    <row r="45" spans="1:2" x14ac:dyDescent="0.25">
      <c r="A45" s="110" t="s">
        <v>292</v>
      </c>
      <c r="B45" s="109" t="str">
        <f>_xll.qlYoYInflationCollar(B18,B19,B20,B44)</f>
        <v>欣[test_inflation.xlsx]YoYInflationCollar!R45C2YoYInflationCollar,A</v>
      </c>
    </row>
    <row r="46" spans="1:2" x14ac:dyDescent="0.25">
      <c r="A46" s="111" t="s">
        <v>288</v>
      </c>
      <c r="B46" s="57" t="str">
        <f>_xll.qlYoYInflationBachelierCapFloorEngine(B23,B39,B40,B45)</f>
        <v>欣[test_inflation.xlsx]YoYInflationCollar!R46C2YoYInflationBachelierCapFloorEngine,A</v>
      </c>
    </row>
    <row r="47" spans="1:2" x14ac:dyDescent="0.25">
      <c r="A47" s="101" t="s">
        <v>289</v>
      </c>
      <c r="B47" s="57" t="b">
        <f>_xll.qlInstrumentSetPricingEngine(B45,B46)</f>
        <v>1</v>
      </c>
    </row>
    <row r="48" spans="1:2" x14ac:dyDescent="0.25">
      <c r="A48" s="102" t="s">
        <v>287</v>
      </c>
      <c r="B48" s="48">
        <f>_xll.qlYoYInflationCapFloorOptionletPrices(B45,B47)</f>
        <v>-10.139765970874134</v>
      </c>
    </row>
    <row r="49" spans="1:2" x14ac:dyDescent="0.25">
      <c r="A49" s="110" t="s">
        <v>293</v>
      </c>
      <c r="B49" s="109" t="str">
        <f>_xll.qlYoYInflationCollar(B18,B19,B20,B48)</f>
        <v>欣[test_inflation.xlsx]YoYInflationCollar!R49C2YoYInflationCollar,A</v>
      </c>
    </row>
    <row r="50" spans="1:2" x14ac:dyDescent="0.25">
      <c r="A50" s="111" t="s">
        <v>250</v>
      </c>
      <c r="B50" s="57" t="str">
        <f>_xll.qlYoYInflationUnitDisplacedBlackCapFloorEngine(B23,B39,B40,B49)</f>
        <v>欣[test_inflation.xlsx]YoYInflationCollar!R50C2YoYInflationUnitDisplacedBlackCapFloorEngine,A</v>
      </c>
    </row>
    <row r="51" spans="1:2" x14ac:dyDescent="0.25">
      <c r="A51" s="101" t="s">
        <v>289</v>
      </c>
      <c r="B51" s="57" t="b">
        <f>_xll.qlInstrumentSetPricingEngine(B49,B50)</f>
        <v>1</v>
      </c>
    </row>
    <row r="52" spans="1:2" x14ac:dyDescent="0.25">
      <c r="A52" s="102" t="s">
        <v>287</v>
      </c>
      <c r="B52" s="48">
        <f>_xll.qlYoYInflationCapFloorOptionletPrices(B49,B51)</f>
        <v>-10.214317649740938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6CBE9-E774-42FB-BE86-DB951DFCB018}">
  <dimension ref="A1:D3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47.7109375" bestFit="1" customWidth="1"/>
    <col min="2" max="2" width="96" style="4" bestFit="1" customWidth="1"/>
  </cols>
  <sheetData>
    <row r="1" spans="1:4" x14ac:dyDescent="0.25">
      <c r="A1" t="s">
        <v>2</v>
      </c>
      <c r="B1" s="2">
        <v>45292</v>
      </c>
      <c r="C1" s="3"/>
      <c r="D1" s="3"/>
    </row>
    <row r="2" spans="1:4" x14ac:dyDescent="0.25">
      <c r="A2" t="s">
        <v>3</v>
      </c>
      <c r="B2" s="2">
        <f>_xll.qlSettingsSetEvaluationDate(B1)</f>
        <v>45292</v>
      </c>
      <c r="C2" s="3"/>
      <c r="D2" s="3"/>
    </row>
    <row r="4" spans="1:4" x14ac:dyDescent="0.25">
      <c r="A4" s="49" t="s">
        <v>303</v>
      </c>
      <c r="B4" s="109">
        <v>0.01</v>
      </c>
    </row>
    <row r="5" spans="1:4" x14ac:dyDescent="0.25">
      <c r="A5" s="54" t="s">
        <v>140</v>
      </c>
      <c r="B5" s="57">
        <v>1000</v>
      </c>
    </row>
    <row r="6" spans="1:4" x14ac:dyDescent="0.25">
      <c r="A6" s="54" t="s">
        <v>304</v>
      </c>
      <c r="B6" s="57" t="s">
        <v>115</v>
      </c>
    </row>
    <row r="7" spans="1:4" x14ac:dyDescent="0.25">
      <c r="A7" s="54" t="s">
        <v>73</v>
      </c>
      <c r="B7" s="57" t="s">
        <v>17</v>
      </c>
    </row>
    <row r="8" spans="1:4" x14ac:dyDescent="0.25">
      <c r="A8" s="54" t="s">
        <v>256</v>
      </c>
      <c r="B8" s="57" t="s">
        <v>52</v>
      </c>
    </row>
    <row r="9" spans="1:4" x14ac:dyDescent="0.25">
      <c r="A9" s="54" t="s">
        <v>158</v>
      </c>
      <c r="B9" s="57" t="s">
        <v>78</v>
      </c>
    </row>
    <row r="10" spans="1:4" x14ac:dyDescent="0.25">
      <c r="A10" s="54" t="s">
        <v>95</v>
      </c>
      <c r="B10" s="57">
        <v>0</v>
      </c>
    </row>
    <row r="11" spans="1:4" x14ac:dyDescent="0.25">
      <c r="A11" s="64" t="s">
        <v>18</v>
      </c>
      <c r="B11" s="46">
        <v>45292</v>
      </c>
    </row>
    <row r="12" spans="1:4" x14ac:dyDescent="0.25">
      <c r="A12" s="65" t="s">
        <v>18</v>
      </c>
      <c r="B12" s="55">
        <v>45658</v>
      </c>
    </row>
    <row r="13" spans="1:4" x14ac:dyDescent="0.25">
      <c r="A13" s="65" t="s">
        <v>19</v>
      </c>
      <c r="B13" s="57">
        <v>0.01</v>
      </c>
    </row>
    <row r="14" spans="1:4" x14ac:dyDescent="0.25">
      <c r="A14" s="65" t="s">
        <v>19</v>
      </c>
      <c r="B14" s="57">
        <v>0.02</v>
      </c>
    </row>
    <row r="15" spans="1:4" x14ac:dyDescent="0.25">
      <c r="A15" s="65" t="s">
        <v>15</v>
      </c>
      <c r="B15" s="61" t="str">
        <f>_xll.qlYoYInflationCurve($B$2,B11:B12,B13:B14,"semiannual","act/360",,B2)</f>
        <v>欣[test_inflation.xlsx]YoYOptionletHelper!R15C2YoYInflationTermStructureHandle,A</v>
      </c>
    </row>
    <row r="16" spans="1:4" x14ac:dyDescent="0.25">
      <c r="A16" s="98" t="s">
        <v>90</v>
      </c>
      <c r="B16" s="81" t="str">
        <f>_xll.qlYYEUHICP(B15,B15)</f>
        <v>欣[test_inflation.xlsx]YoYOptionletHelper!R16C2YYEUHICP,A</v>
      </c>
    </row>
    <row r="17" spans="1:2" x14ac:dyDescent="0.25">
      <c r="A17" s="54" t="s">
        <v>96</v>
      </c>
      <c r="B17" s="57" t="s">
        <v>80</v>
      </c>
    </row>
    <row r="18" spans="1:2" x14ac:dyDescent="0.25">
      <c r="A18" s="54" t="s">
        <v>211</v>
      </c>
      <c r="B18" s="57">
        <v>0.03</v>
      </c>
    </row>
    <row r="19" spans="1:2" x14ac:dyDescent="0.25">
      <c r="A19" s="54" t="s">
        <v>305</v>
      </c>
      <c r="B19" s="57">
        <v>5</v>
      </c>
    </row>
    <row r="20" spans="1:2" x14ac:dyDescent="0.25">
      <c r="A20" s="85" t="s">
        <v>90</v>
      </c>
      <c r="B20" s="46" t="str">
        <f>B16</f>
        <v>欣[test_inflation.xlsx]YoYOptionletHelper!R16C2YYEUHICP,A</v>
      </c>
    </row>
    <row r="21" spans="1:2" x14ac:dyDescent="0.25">
      <c r="A21" s="85" t="s">
        <v>105</v>
      </c>
      <c r="B21" s="104">
        <v>2</v>
      </c>
    </row>
    <row r="22" spans="1:2" x14ac:dyDescent="0.25">
      <c r="A22" s="88" t="s">
        <v>75</v>
      </c>
      <c r="B22" s="105" t="s">
        <v>78</v>
      </c>
    </row>
    <row r="23" spans="1:2" x14ac:dyDescent="0.25">
      <c r="A23" s="88" t="s">
        <v>76</v>
      </c>
      <c r="B23" s="105" t="s">
        <v>79</v>
      </c>
    </row>
    <row r="24" spans="1:2" x14ac:dyDescent="0.25">
      <c r="A24" s="88" t="s">
        <v>31</v>
      </c>
      <c r="B24" s="106" t="s">
        <v>52</v>
      </c>
    </row>
    <row r="25" spans="1:2" x14ac:dyDescent="0.25">
      <c r="A25" s="88" t="s">
        <v>73</v>
      </c>
      <c r="B25" s="106" t="s">
        <v>17</v>
      </c>
    </row>
    <row r="26" spans="1:2" x14ac:dyDescent="0.25">
      <c r="A26" s="88" t="s">
        <v>12</v>
      </c>
      <c r="B26" s="106" t="s">
        <v>81</v>
      </c>
    </row>
    <row r="27" spans="1:2" x14ac:dyDescent="0.25">
      <c r="A27" s="88" t="s">
        <v>106</v>
      </c>
      <c r="B27" s="106" t="b">
        <v>0</v>
      </c>
    </row>
    <row r="28" spans="1:2" x14ac:dyDescent="0.25">
      <c r="A28" s="85" t="s">
        <v>18</v>
      </c>
      <c r="B28" s="28">
        <v>45292</v>
      </c>
    </row>
    <row r="29" spans="1:2" x14ac:dyDescent="0.25">
      <c r="A29" s="88" t="s">
        <v>18</v>
      </c>
      <c r="B29" s="29">
        <v>45658</v>
      </c>
    </row>
    <row r="30" spans="1:2" x14ac:dyDescent="0.25">
      <c r="A30" s="158" t="s">
        <v>18</v>
      </c>
      <c r="B30" s="30">
        <v>46023</v>
      </c>
    </row>
    <row r="31" spans="1:2" x14ac:dyDescent="0.25">
      <c r="A31" s="85" t="s">
        <v>107</v>
      </c>
      <c r="B31" s="31">
        <v>0.02</v>
      </c>
    </row>
    <row r="32" spans="1:2" x14ac:dyDescent="0.25">
      <c r="A32" s="88" t="s">
        <v>107</v>
      </c>
      <c r="B32" s="32">
        <v>2.5000000000000001E-2</v>
      </c>
    </row>
    <row r="33" spans="1:2" x14ac:dyDescent="0.25">
      <c r="A33" s="158" t="s">
        <v>107</v>
      </c>
      <c r="B33" s="33">
        <v>0.03</v>
      </c>
    </row>
    <row r="34" spans="1:2" x14ac:dyDescent="0.25">
      <c r="A34" s="88" t="s">
        <v>108</v>
      </c>
      <c r="B34" s="32">
        <v>0.01</v>
      </c>
    </row>
    <row r="35" spans="1:2" x14ac:dyDescent="0.25">
      <c r="A35" s="88" t="s">
        <v>109</v>
      </c>
      <c r="B35" s="27">
        <v>0.1</v>
      </c>
    </row>
    <row r="36" spans="1:2" x14ac:dyDescent="0.25">
      <c r="A36" s="163" t="s">
        <v>110</v>
      </c>
      <c r="B36" s="48" t="str">
        <f>_xll.qlInterpolatedYoYInflationOptionletVolatilityCurve(B21,B22,B23,B24,B25,B26,B27,B28:B30,B31:B33,B34,B35,B16)</f>
        <v>欣[test_inflation.xlsx]YoYOptionletHelper!R36C2YoYOptionletVolatilitySurfaceHandle,A</v>
      </c>
    </row>
    <row r="37" spans="1:2" x14ac:dyDescent="0.25">
      <c r="A37" s="132" t="s">
        <v>252</v>
      </c>
      <c r="B37" s="57" t="str">
        <f>_xll.qlFlatForward($B$2,0.03,"actual365fixed",,,B36)</f>
        <v>欣[test_inflation.xlsx]YoYOptionletHelper!R37C2YieldTermStructureHandle,A</v>
      </c>
    </row>
    <row r="38" spans="1:2" x14ac:dyDescent="0.25">
      <c r="A38" s="126" t="s">
        <v>306</v>
      </c>
      <c r="B38" s="48" t="str">
        <f>_xll.qlYoYInflationBlackCapFloorEngine(B20,B36,B37,B37)</f>
        <v>欣[test_inflation.xlsx]YoYOptionletHelper!R38C2YoYInflationBlackCapFloorEngine,A</v>
      </c>
    </row>
    <row r="39" spans="1:2" x14ac:dyDescent="0.25">
      <c r="A39" s="47" t="s">
        <v>307</v>
      </c>
      <c r="B39" s="48" t="str">
        <f>_xll.qlYoYOptionletHelper(B4,B5,B6,B7,B8,B9,B10,B16,B17,B18,B19,B38,B38)</f>
        <v>欣[test_inflation.xlsx]YoYOptionletHelper!R39C2YoYOptionletHelper,A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30</vt:i4>
      </vt:variant>
    </vt:vector>
  </HeadingPairs>
  <TitlesOfParts>
    <vt:vector size="30" baseType="lpstr">
      <vt:lpstr>Tabs</vt:lpstr>
      <vt:lpstr>Seasonality</vt:lpstr>
      <vt:lpstr>Region</vt:lpstr>
      <vt:lpstr>InflationUtilities</vt:lpstr>
      <vt:lpstr>ZeroInflationIndex</vt:lpstr>
      <vt:lpstr>YoYInflationIndex</vt:lpstr>
      <vt:lpstr>ZeroCouponInflationSwapHelper</vt:lpstr>
      <vt:lpstr>YoYInflationSwapHelper</vt:lpstr>
      <vt:lpstr>YoYInflationCoupon</vt:lpstr>
      <vt:lpstr>CappedFlooredYoYInflationCoupon</vt:lpstr>
      <vt:lpstr>CPICoupon</vt:lpstr>
      <vt:lpstr>ZeroInflationCurve</vt:lpstr>
      <vt:lpstr>ZeroPiecewiseInflationCurve</vt:lpstr>
      <vt:lpstr>YoYInflationCurve</vt:lpstr>
      <vt:lpstr>YoYPiecewiseInflationCurve</vt:lpstr>
      <vt:lpstr>CPIUtilities</vt:lpstr>
      <vt:lpstr>CPIInflationCashFlow</vt:lpstr>
      <vt:lpstr>CPILeg</vt:lpstr>
      <vt:lpstr>ZeroInflationCashFlow</vt:lpstr>
      <vt:lpstr>YoYInflationLeg</vt:lpstr>
      <vt:lpstr>InterpolatedYoYOptionletVolatil</vt:lpstr>
      <vt:lpstr>YoYInflationCapFloorTermPriceSu</vt:lpstr>
      <vt:lpstr>ZeroCouponInflationSwap</vt:lpstr>
      <vt:lpstr>YoYInflationSwap</vt:lpstr>
      <vt:lpstr>CPISwap</vt:lpstr>
      <vt:lpstr>YoYInflationCapFloor</vt:lpstr>
      <vt:lpstr>YoYInflationCap</vt:lpstr>
      <vt:lpstr>YoYInflationFloor</vt:lpstr>
      <vt:lpstr>YoYInflationCollar</vt:lpstr>
      <vt:lpstr>YoYOptionletHelper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Kerstin Steinberg</dc:creator>
  <cp:lastModifiedBy>Kerstin Steinberg</cp:lastModifiedBy>
  <dcterms:created xsi:type="dcterms:W3CDTF">2026-06-17T11:36:08Z</dcterms:created>
  <dcterms:modified xsi:type="dcterms:W3CDTF">2026-10-15T14:42:29Z</dcterms:modified>
</cp:coreProperties>
</file>