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A6F270C3-6A48-4462-B3C0-0838AF9B38C8}" xr6:coauthVersionLast="36" xr6:coauthVersionMax="47" xr10:uidLastSave="{00000000-0000-0000-0000-000000000000}"/>
  <bookViews>
    <workbookView xWindow="-120" yWindow="-21720" windowWidth="38640" windowHeight="21120" activeTab="2" xr2:uid="{27232A84-7D6C-4EF7-8EDD-D20622985291}"/>
  </bookViews>
  <sheets>
    <sheet name="EvaluationDate" sheetId="3" r:id="rId1"/>
    <sheet name="CashFlows" sheetId="1" r:id="rId2"/>
    <sheet name="Coupons" sheetId="2" r:id="rId3"/>
    <sheet name="Legs" sheetId="4" r:id="rId4"/>
    <sheet name="IborCoupon" sheetId="5" r:id="rId5"/>
    <sheet name="CappedFlooredIborCoupon" sheetId="6" r:id="rId6"/>
    <sheet name="OvernightIndexedCoupon" sheetId="8" r:id="rId7"/>
    <sheet name="CmsCoupon" sheetId="9" r:id="rId8"/>
    <sheet name="CmsSpreadCoupon" sheetId="11" r:id="rId9"/>
    <sheet name="MultiplieResetCoupon" sheetId="12" r:id="rId10"/>
    <sheet name="FixedRateLeg" sheetId="13" r:id="rId11"/>
    <sheet name="IborLeg" sheetId="14" r:id="rId12"/>
    <sheet name="OvernightLeg" sheetId="15" r:id="rId13"/>
    <sheet name="CMSLeg" sheetId="16" r:id="rId14"/>
    <sheet name="CmsZeroLeg" sheetId="17" r:id="rId15"/>
    <sheet name="CmsSpreadLeg" sheetId="18" r:id="rId16"/>
    <sheet name="MultipleResetsLeg" sheetId="19" r:id="rId17"/>
    <sheet name="RangeAccrualLeg" sheetId="20" r:id="rId18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4" l="1"/>
  <c r="G8" i="4" s="1"/>
  <c r="G9" i="4" s="1"/>
  <c r="G10" i="4" s="1"/>
  <c r="G11" i="4" s="1"/>
  <c r="G12" i="4" s="1"/>
  <c r="G6" i="4"/>
  <c r="B23" i="2" a="1"/>
  <c r="B22" i="2"/>
  <c r="B26" i="2"/>
  <c r="C23" i="11"/>
  <c r="C9" i="11"/>
  <c r="B23" i="11"/>
  <c r="B14" i="11"/>
  <c r="B13" i="11"/>
  <c r="B12" i="11"/>
  <c r="B11" i="11"/>
  <c r="B10" i="11"/>
  <c r="B9" i="11"/>
  <c r="B2" i="11"/>
  <c r="B24" i="11"/>
  <c r="B23" i="8"/>
  <c r="C23" i="8"/>
  <c r="C9" i="5"/>
  <c r="C10" i="5" s="1"/>
  <c r="C19" i="5"/>
  <c r="C40" i="5"/>
  <c r="C36" i="5"/>
  <c r="B2" i="5"/>
  <c r="C27" i="5"/>
  <c r="C39" i="5"/>
  <c r="C35" i="5"/>
  <c r="C31" i="5"/>
  <c r="C44" i="6"/>
  <c r="B22" i="6"/>
  <c r="C9" i="6"/>
  <c r="C10" i="6" s="1"/>
  <c r="C20" i="6" s="1"/>
  <c r="B2" i="6"/>
  <c r="B44" i="6" s="1"/>
  <c r="B9" i="6"/>
  <c r="B10" i="6" s="1"/>
  <c r="B20" i="6" s="1"/>
  <c r="C21" i="6"/>
  <c r="C22" i="6" s="1"/>
  <c r="C8" i="8"/>
  <c r="C9" i="8"/>
  <c r="B8" i="8"/>
  <c r="B9" i="8" s="1"/>
  <c r="B25" i="8"/>
  <c r="B2" i="8"/>
  <c r="B47" i="8"/>
  <c r="B60" i="8"/>
  <c r="B56" i="8"/>
  <c r="B52" i="8"/>
  <c r="B55" i="8"/>
  <c r="C47" i="8"/>
  <c r="B51" i="8"/>
  <c r="B21" i="9"/>
  <c r="B2" i="9"/>
  <c r="C9" i="9"/>
  <c r="C10" i="9"/>
  <c r="B51" i="2" a="1"/>
  <c r="C11" i="9"/>
  <c r="B9" i="9"/>
  <c r="B10" i="9" s="1"/>
  <c r="B26" i="8"/>
  <c r="B30" i="8"/>
  <c r="B34" i="8"/>
  <c r="B38" i="8"/>
  <c r="B42" i="8"/>
  <c r="B46" i="8"/>
  <c r="B50" i="8"/>
  <c r="B54" i="8"/>
  <c r="B58" i="8"/>
  <c r="B62" i="8"/>
  <c r="B27" i="8"/>
  <c r="B59" i="8"/>
  <c r="B53" i="8"/>
  <c r="B57" i="8"/>
  <c r="B61" i="8"/>
  <c r="C24" i="8"/>
  <c r="C25" i="8" s="1"/>
  <c r="C52" i="8"/>
  <c r="C56" i="8"/>
  <c r="C60" i="8"/>
  <c r="C53" i="8"/>
  <c r="C57" i="8"/>
  <c r="C61" i="8"/>
  <c r="C26" i="8"/>
  <c r="C30" i="8"/>
  <c r="C34" i="8"/>
  <c r="C38" i="8"/>
  <c r="C42" i="8"/>
  <c r="C46" i="8"/>
  <c r="C50" i="8"/>
  <c r="C54" i="8"/>
  <c r="C58" i="8"/>
  <c r="C62" i="8"/>
  <c r="B31" i="8"/>
  <c r="B35" i="8"/>
  <c r="B28" i="8"/>
  <c r="B32" i="8"/>
  <c r="B36" i="8"/>
  <c r="B40" i="8"/>
  <c r="B44" i="8"/>
  <c r="B48" i="8"/>
  <c r="B43" i="8"/>
  <c r="B29" i="8"/>
  <c r="B33" i="8"/>
  <c r="B37" i="8"/>
  <c r="B41" i="8"/>
  <c r="B45" i="8"/>
  <c r="B49" i="8"/>
  <c r="B39" i="8"/>
  <c r="C51" i="8"/>
  <c r="C55" i="8"/>
  <c r="C59" i="8"/>
  <c r="C49" i="8"/>
  <c r="C45" i="8"/>
  <c r="C41" i="8"/>
  <c r="C37" i="8"/>
  <c r="C33" i="8"/>
  <c r="C29" i="8"/>
  <c r="C48" i="8"/>
  <c r="C44" i="8"/>
  <c r="C40" i="8"/>
  <c r="C36" i="8"/>
  <c r="C32" i="8"/>
  <c r="C28" i="8"/>
  <c r="C27" i="8"/>
  <c r="C31" i="8"/>
  <c r="C35" i="8"/>
  <c r="C39" i="8"/>
  <c r="C43" i="8"/>
  <c r="C23" i="6"/>
  <c r="C27" i="6"/>
  <c r="C31" i="6"/>
  <c r="C35" i="6"/>
  <c r="C39" i="6"/>
  <c r="C43" i="6"/>
  <c r="C47" i="6"/>
  <c r="C51" i="6"/>
  <c r="C37" i="6"/>
  <c r="C25" i="6"/>
  <c r="C41" i="6"/>
  <c r="C24" i="6"/>
  <c r="C28" i="6"/>
  <c r="C32" i="6"/>
  <c r="C36" i="6"/>
  <c r="C40" i="6"/>
  <c r="C48" i="6"/>
  <c r="C52" i="6"/>
  <c r="B23" i="6"/>
  <c r="B24" i="6"/>
  <c r="B28" i="6"/>
  <c r="B32" i="6"/>
  <c r="B36" i="6"/>
  <c r="B40" i="6"/>
  <c r="B48" i="6"/>
  <c r="B52" i="6"/>
  <c r="B25" i="6"/>
  <c r="B30" i="6"/>
  <c r="B46" i="6"/>
  <c r="C45" i="6"/>
  <c r="C33" i="6"/>
  <c r="C49" i="6"/>
  <c r="C26" i="6"/>
  <c r="C30" i="6"/>
  <c r="C34" i="6"/>
  <c r="C38" i="6"/>
  <c r="C42" i="6"/>
  <c r="C46" i="6"/>
  <c r="C50" i="6"/>
  <c r="C29" i="6"/>
  <c r="B38" i="6"/>
  <c r="B45" i="6"/>
  <c r="B29" i="6"/>
  <c r="B27" i="6"/>
  <c r="B42" i="6"/>
  <c r="B26" i="6"/>
  <c r="B49" i="6"/>
  <c r="B37" i="6"/>
  <c r="B51" i="6"/>
  <c r="B47" i="6"/>
  <c r="B43" i="6"/>
  <c r="B39" i="6"/>
  <c r="B35" i="6"/>
  <c r="B31" i="6"/>
  <c r="B33" i="6"/>
  <c r="B41" i="6"/>
  <c r="B50" i="6"/>
  <c r="B34" i="6"/>
  <c r="C24" i="5"/>
  <c r="C23" i="5"/>
  <c r="C32" i="5"/>
  <c r="C25" i="5"/>
  <c r="C37" i="5"/>
  <c r="C41" i="5"/>
  <c r="C20" i="5"/>
  <c r="C33" i="5"/>
  <c r="C28" i="5"/>
  <c r="C21" i="5"/>
  <c r="C29" i="5"/>
  <c r="C22" i="5"/>
  <c r="C26" i="5"/>
  <c r="C30" i="5"/>
  <c r="C34" i="5"/>
  <c r="C38" i="5"/>
  <c r="C42" i="5"/>
  <c r="B40" i="5"/>
  <c r="B9" i="5"/>
  <c r="B10" i="5" s="1"/>
  <c r="B19" i="5" s="1"/>
  <c r="B31" i="5"/>
  <c r="B23" i="5"/>
  <c r="B24" i="5"/>
  <c r="B32" i="5"/>
  <c r="B25" i="5"/>
  <c r="B41" i="5"/>
  <c r="B27" i="5"/>
  <c r="B28" i="5"/>
  <c r="B33" i="5"/>
  <c r="B39" i="5"/>
  <c r="B29" i="5"/>
  <c r="B22" i="5"/>
  <c r="B26" i="5"/>
  <c r="B30" i="5"/>
  <c r="B34" i="5"/>
  <c r="B38" i="5"/>
  <c r="B42" i="5"/>
  <c r="B35" i="5"/>
  <c r="B20" i="5"/>
  <c r="B36" i="5"/>
  <c r="B21" i="5"/>
  <c r="B37" i="5"/>
  <c r="B25" i="11"/>
  <c r="B31" i="11"/>
  <c r="B27" i="11"/>
  <c r="B29" i="11"/>
  <c r="B30" i="11"/>
  <c r="B26" i="11"/>
  <c r="B28" i="11"/>
  <c r="C10" i="11"/>
  <c r="C12" i="11" s="1"/>
  <c r="C11" i="11"/>
  <c r="C13" i="11" s="1"/>
  <c r="C14" i="11" s="1"/>
  <c r="C31" i="11"/>
  <c r="C27" i="11"/>
  <c r="C30" i="11"/>
  <c r="C26" i="11"/>
  <c r="C29" i="11"/>
  <c r="C28" i="11"/>
  <c r="B23" i="2" l="1"/>
  <c r="B51" i="2"/>
  <c r="C20" i="9"/>
  <c r="B11" i="9"/>
  <c r="B2" i="3" a="1"/>
  <c r="C28" i="9"/>
  <c r="C27" i="9"/>
  <c r="C23" i="9"/>
  <c r="C25" i="9"/>
  <c r="C26" i="9"/>
  <c r="C24" i="9"/>
  <c r="B2" i="3" l="1"/>
  <c r="B20" i="9"/>
  <c r="B22" i="9"/>
  <c r="B26" i="9" s="1"/>
  <c r="B27" i="9"/>
  <c r="B23" i="9"/>
  <c r="B25" i="9"/>
  <c r="B28" i="9"/>
  <c r="B24" i="9"/>
  <c r="B1" i="2" l="1"/>
  <c r="B1" i="1"/>
  <c r="B1" i="4"/>
  <c r="B14" i="2" a="1"/>
  <c r="B3" i="2"/>
  <c r="B3" i="1"/>
  <c r="B4" i="1"/>
  <c r="B13" i="4" a="1"/>
  <c r="B3" i="4"/>
  <c r="B4" i="4"/>
  <c r="B5" i="2" a="1"/>
  <c r="B6" i="2" a="1"/>
  <c r="B7" i="4" a="1"/>
  <c r="B9" i="4" a="1"/>
  <c r="B6" i="4" a="1"/>
  <c r="B8" i="4" a="1"/>
  <c r="B32" i="4" a="1"/>
  <c r="B31" i="4" a="1"/>
  <c r="B30" i="4" a="1"/>
  <c r="B30" i="4" l="1"/>
  <c r="B31" i="4"/>
  <c r="B33" i="4"/>
  <c r="B32" i="4"/>
  <c r="B8" i="4"/>
  <c r="B6" i="4"/>
  <c r="B9" i="4"/>
  <c r="B7" i="4"/>
  <c r="B6" i="2"/>
  <c r="B5" i="2"/>
  <c r="B13" i="4"/>
  <c r="B14" i="2"/>
  <c r="B7" i="1"/>
  <c r="B14" i="4" a="1"/>
  <c r="B15" i="2" a="1"/>
  <c r="B5" i="1" a="1"/>
  <c r="B10" i="4" a="1"/>
  <c r="B12" i="1" a="1"/>
  <c r="B11" i="1" a="1"/>
  <c r="B13" i="1" a="1"/>
  <c r="B13" i="1" l="1"/>
  <c r="B11" i="1"/>
  <c r="B12" i="1"/>
  <c r="B10" i="4"/>
  <c r="B5" i="1"/>
  <c r="B15" i="2"/>
  <c r="B14" i="4"/>
  <c r="B16" i="2" a="1"/>
  <c r="B18" i="4" a="1"/>
  <c r="B14" i="1" a="1"/>
  <c r="E13" i="1" a="1"/>
  <c r="D13" i="1" a="1"/>
  <c r="C13" i="1" a="1"/>
  <c r="D11" i="1" a="1"/>
  <c r="E11" i="1" a="1"/>
  <c r="C11" i="1" a="1"/>
  <c r="D12" i="1" a="1"/>
  <c r="E12" i="1" a="1"/>
  <c r="C12" i="1" a="1"/>
  <c r="C12" i="1" l="1"/>
  <c r="E12" i="1"/>
  <c r="D12" i="1"/>
  <c r="C11" i="1"/>
  <c r="E11" i="1"/>
  <c r="D11" i="1"/>
  <c r="C13" i="1"/>
  <c r="D13" i="1"/>
  <c r="E13" i="1"/>
  <c r="B14" i="1"/>
  <c r="B18" i="4"/>
  <c r="B16" i="2"/>
  <c r="B18" i="2" a="1"/>
  <c r="B15" i="1" a="1"/>
  <c r="E14" i="1" a="1"/>
  <c r="D14" i="1" a="1"/>
  <c r="C14" i="1" a="1"/>
  <c r="B21" i="4" a="1"/>
  <c r="B23" i="4" a="1"/>
  <c r="F4" i="4" a="1"/>
  <c r="B26" i="4" a="1"/>
  <c r="B25" i="4" a="1"/>
  <c r="B24" i="4" a="1"/>
  <c r="B22" i="4" a="1"/>
  <c r="B20" i="4" a="1"/>
  <c r="H20" i="4" l="1"/>
  <c r="B20" i="4"/>
  <c r="G20" i="4"/>
  <c r="I20" i="4"/>
  <c r="F20" i="4"/>
  <c r="E20" i="4"/>
  <c r="D20" i="4"/>
  <c r="C20" i="4"/>
  <c r="F22" i="4"/>
  <c r="E22" i="4"/>
  <c r="B22" i="4"/>
  <c r="G22" i="4"/>
  <c r="D22" i="4"/>
  <c r="C22" i="4"/>
  <c r="H22" i="4"/>
  <c r="I22" i="4"/>
  <c r="D24" i="4"/>
  <c r="C24" i="4"/>
  <c r="H24" i="4"/>
  <c r="E24" i="4"/>
  <c r="B24" i="4"/>
  <c r="I24" i="4"/>
  <c r="F24" i="4"/>
  <c r="G24" i="4"/>
  <c r="C25" i="4"/>
  <c r="B25" i="4"/>
  <c r="G25" i="4"/>
  <c r="D25" i="4"/>
  <c r="I25" i="4"/>
  <c r="H25" i="4"/>
  <c r="E25" i="4"/>
  <c r="F25" i="4"/>
  <c r="C26" i="4"/>
  <c r="B26" i="4"/>
  <c r="D26" i="4"/>
  <c r="E26" i="4"/>
  <c r="F4" i="4"/>
  <c r="F10" i="4"/>
  <c r="F6" i="4"/>
  <c r="F12" i="4"/>
  <c r="F8" i="4"/>
  <c r="F11" i="4"/>
  <c r="F7" i="4"/>
  <c r="F5" i="4"/>
  <c r="F9" i="4"/>
  <c r="E23" i="4"/>
  <c r="I23" i="4"/>
  <c r="D23" i="4"/>
  <c r="H23" i="4"/>
  <c r="F23" i="4"/>
  <c r="C23" i="4"/>
  <c r="B23" i="4"/>
  <c r="G23" i="4"/>
  <c r="G21" i="4"/>
  <c r="C21" i="4"/>
  <c r="I21" i="4"/>
  <c r="H21" i="4"/>
  <c r="E21" i="4"/>
  <c r="D21" i="4"/>
  <c r="F21" i="4"/>
  <c r="B21" i="4"/>
  <c r="C14" i="1"/>
  <c r="D14" i="1"/>
  <c r="E14" i="1"/>
  <c r="B15" i="1"/>
  <c r="B18" i="2"/>
  <c r="B17" i="2"/>
  <c r="B29" i="4" a="1"/>
  <c r="B28" i="4" a="1"/>
  <c r="B25" i="2" a="1"/>
  <c r="B21" i="2" a="1"/>
  <c r="B24" i="2" a="1"/>
  <c r="B20" i="2" a="1"/>
  <c r="B20" i="2" l="1"/>
  <c r="B24" i="2"/>
  <c r="B21" i="2"/>
  <c r="B25" i="2"/>
  <c r="B28" i="4"/>
  <c r="B29" i="4"/>
  <c r="C24" i="2" a="1"/>
  <c r="D24" i="2" a="1"/>
  <c r="B74" i="2" a="1"/>
  <c r="B67" i="2" a="1"/>
  <c r="D22" i="2" a="1"/>
  <c r="B75" i="2" a="1"/>
  <c r="B71" i="2" a="1"/>
  <c r="B70" i="2" a="1"/>
  <c r="B68" i="2" a="1"/>
  <c r="B69" i="2" a="1"/>
  <c r="B64" i="2" a="1"/>
  <c r="B65" i="2" a="1"/>
  <c r="B62" i="2" a="1"/>
  <c r="C22" i="2" a="1"/>
  <c r="B72" i="2" a="1"/>
  <c r="B73" i="2" a="1"/>
  <c r="D21" i="2" a="1"/>
  <c r="B29" i="2" a="1"/>
  <c r="B32" i="2" a="1"/>
  <c r="B52" i="2" a="1"/>
  <c r="B48" i="2" a="1"/>
  <c r="B28" i="2" a="1"/>
  <c r="B46" i="2" a="1"/>
  <c r="B31" i="2" a="1"/>
  <c r="B44" i="2" a="1"/>
  <c r="B33" i="2" a="1"/>
  <c r="B45" i="2" a="1"/>
  <c r="B47" i="2" a="1"/>
  <c r="C21" i="2" a="1"/>
  <c r="B36" i="2" a="1"/>
  <c r="B43" i="2" a="1"/>
  <c r="B40" i="2" a="1"/>
  <c r="B35" i="2" a="1"/>
  <c r="B34" i="2" a="1"/>
  <c r="B42" i="2" a="1"/>
  <c r="B49" i="2" a="1"/>
  <c r="B30" i="2" a="1"/>
  <c r="B37" i="2" a="1"/>
  <c r="B41" i="2" a="1"/>
  <c r="B56" i="2" a="1"/>
  <c r="C25" i="2" a="1"/>
  <c r="B57" i="2" a="1"/>
  <c r="B59" i="2" a="1"/>
  <c r="B54" i="2" a="1"/>
  <c r="B63" i="2" a="1"/>
  <c r="D23" i="2" a="1"/>
  <c r="C23" i="2" a="1"/>
  <c r="B66" i="2" a="1"/>
  <c r="C20" i="2" a="1"/>
  <c r="D20" i="2" a="1"/>
  <c r="D20" i="2" l="1"/>
  <c r="C20" i="2"/>
  <c r="B66" i="2"/>
  <c r="C23" i="2"/>
  <c r="D23" i="2"/>
  <c r="B63" i="2"/>
  <c r="B54" i="2"/>
  <c r="B59" i="2"/>
  <c r="B57" i="2"/>
  <c r="C25" i="2"/>
  <c r="B56" i="2"/>
  <c r="B41" i="2"/>
  <c r="B37" i="2"/>
  <c r="B30" i="2"/>
  <c r="B49" i="2"/>
  <c r="B42" i="2"/>
  <c r="B34" i="2"/>
  <c r="B35" i="2"/>
  <c r="B40" i="2"/>
  <c r="B43" i="2"/>
  <c r="B36" i="2"/>
  <c r="C21" i="2"/>
  <c r="B47" i="2"/>
  <c r="B45" i="2"/>
  <c r="B33" i="2"/>
  <c r="B44" i="2"/>
  <c r="B31" i="2"/>
  <c r="B46" i="2"/>
  <c r="B28" i="2"/>
  <c r="B48" i="2"/>
  <c r="B52" i="2"/>
  <c r="B32" i="2"/>
  <c r="B29" i="2"/>
  <c r="D21" i="2"/>
  <c r="M73" i="2"/>
  <c r="AR73" i="2"/>
  <c r="AD73" i="2"/>
  <c r="S73" i="2"/>
  <c r="AH73" i="2"/>
  <c r="BM73" i="2"/>
  <c r="BL73" i="2"/>
  <c r="AE73" i="2"/>
  <c r="E73" i="2"/>
  <c r="AJ73" i="2"/>
  <c r="F73" i="2"/>
  <c r="K73" i="2"/>
  <c r="Z73" i="2"/>
  <c r="BE73" i="2"/>
  <c r="BD73" i="2"/>
  <c r="W73" i="2"/>
  <c r="AS73" i="2"/>
  <c r="AL73" i="2"/>
  <c r="L73" i="2"/>
  <c r="AY73" i="2"/>
  <c r="BN73" i="2"/>
  <c r="B73" i="2"/>
  <c r="AG73" i="2"/>
  <c r="BK73" i="2"/>
  <c r="AK73" i="2"/>
  <c r="V73" i="2"/>
  <c r="D73" i="2"/>
  <c r="AQ73" i="2"/>
  <c r="BF73" i="2"/>
  <c r="AV73" i="2"/>
  <c r="Y73" i="2"/>
  <c r="BC73" i="2"/>
  <c r="AF73" i="2"/>
  <c r="BO73" i="2"/>
  <c r="R73" i="2"/>
  <c r="AN73" i="2"/>
  <c r="BH73" i="2"/>
  <c r="AU73" i="2"/>
  <c r="C73" i="2"/>
  <c r="BB73" i="2"/>
  <c r="AX73" i="2"/>
  <c r="BJ73" i="2"/>
  <c r="BG73" i="2"/>
  <c r="J73" i="2"/>
  <c r="P73" i="2"/>
  <c r="AO73" i="2"/>
  <c r="AC73" i="2"/>
  <c r="AZ73" i="2"/>
  <c r="AA73" i="2"/>
  <c r="N73" i="2"/>
  <c r="AM73" i="2"/>
  <c r="BI73" i="2"/>
  <c r="AW73" i="2"/>
  <c r="G73" i="2"/>
  <c r="Q73" i="2"/>
  <c r="BA73" i="2"/>
  <c r="H73" i="2"/>
  <c r="U73" i="2"/>
  <c r="AT73" i="2"/>
  <c r="AP73" i="2"/>
  <c r="I73" i="2"/>
  <c r="AI73" i="2"/>
  <c r="X73" i="2"/>
  <c r="AB73" i="2"/>
  <c r="O73" i="2"/>
  <c r="T73" i="2"/>
  <c r="BL72" i="2"/>
  <c r="BM72" i="2"/>
  <c r="O72" i="2"/>
  <c r="AD72" i="2"/>
  <c r="AS72" i="2"/>
  <c r="AI72" i="2"/>
  <c r="AB72" i="2"/>
  <c r="AO72" i="2"/>
  <c r="J72" i="2"/>
  <c r="BD72" i="2"/>
  <c r="AG72" i="2"/>
  <c r="G72" i="2"/>
  <c r="V72" i="2"/>
  <c r="AK72" i="2"/>
  <c r="S72" i="2"/>
  <c r="T72" i="2"/>
  <c r="BN72" i="2"/>
  <c r="B72" i="2"/>
  <c r="AF72" i="2"/>
  <c r="AU72" i="2"/>
  <c r="BJ72" i="2"/>
  <c r="BE72" i="2"/>
  <c r="M72" i="2"/>
  <c r="BH72" i="2"/>
  <c r="BG72" i="2"/>
  <c r="AP72" i="2"/>
  <c r="X72" i="2"/>
  <c r="AM72" i="2"/>
  <c r="BB72" i="2"/>
  <c r="I72" i="2"/>
  <c r="E72" i="2"/>
  <c r="AZ72" i="2"/>
  <c r="AQ72" i="2"/>
  <c r="AH72" i="2"/>
  <c r="AV72" i="2"/>
  <c r="AW72" i="2"/>
  <c r="AC72" i="2"/>
  <c r="L72" i="2"/>
  <c r="P72" i="2"/>
  <c r="BC72" i="2"/>
  <c r="AE72" i="2"/>
  <c r="AR72" i="2"/>
  <c r="AN72" i="2"/>
  <c r="Q72" i="2"/>
  <c r="U72" i="2"/>
  <c r="D72" i="2"/>
  <c r="F72" i="2"/>
  <c r="BI72" i="2"/>
  <c r="H72" i="2"/>
  <c r="AL72" i="2"/>
  <c r="AY72" i="2"/>
  <c r="K72" i="2"/>
  <c r="BK72" i="2"/>
  <c r="C72" i="2"/>
  <c r="BF72" i="2"/>
  <c r="AX72" i="2"/>
  <c r="W72" i="2"/>
  <c r="BA72" i="2"/>
  <c r="AJ72" i="2"/>
  <c r="R72" i="2"/>
  <c r="AT72" i="2"/>
  <c r="BO72" i="2"/>
  <c r="AA72" i="2"/>
  <c r="N72" i="2"/>
  <c r="Y72" i="2"/>
  <c r="Z72" i="2"/>
  <c r="C22" i="2"/>
  <c r="B62" i="2"/>
  <c r="B65" i="2"/>
  <c r="B64" i="2"/>
  <c r="B69" i="2"/>
  <c r="B68" i="2"/>
  <c r="AU70" i="2"/>
  <c r="AT70" i="2"/>
  <c r="BI70" i="2"/>
  <c r="BF70" i="2"/>
  <c r="AB70" i="2"/>
  <c r="AV70" i="2"/>
  <c r="S70" i="2"/>
  <c r="X70" i="2"/>
  <c r="I70" i="2"/>
  <c r="AM70" i="2"/>
  <c r="AL70" i="2"/>
  <c r="BA70" i="2"/>
  <c r="AN70" i="2"/>
  <c r="T70" i="2"/>
  <c r="P70" i="2"/>
  <c r="K70" i="2"/>
  <c r="BM70" i="2"/>
  <c r="O70" i="2"/>
  <c r="N70" i="2"/>
  <c r="AC70" i="2"/>
  <c r="BH70" i="2"/>
  <c r="AX70" i="2"/>
  <c r="AY70" i="2"/>
  <c r="AP70" i="2"/>
  <c r="AO70" i="2"/>
  <c r="G70" i="2"/>
  <c r="F70" i="2"/>
  <c r="U70" i="2"/>
  <c r="AZ70" i="2"/>
  <c r="AH70" i="2"/>
  <c r="AQ70" i="2"/>
  <c r="Z70" i="2"/>
  <c r="AG70" i="2"/>
  <c r="AE70" i="2"/>
  <c r="AS70" i="2"/>
  <c r="L70" i="2"/>
  <c r="C70" i="2"/>
  <c r="R70" i="2"/>
  <c r="AD70" i="2"/>
  <c r="BE70" i="2"/>
  <c r="BP70" i="2"/>
  <c r="AR70" i="2"/>
  <c r="W70" i="2"/>
  <c r="AK70" i="2"/>
  <c r="D70" i="2"/>
  <c r="BN70" i="2"/>
  <c r="M70" i="2"/>
  <c r="AW70" i="2"/>
  <c r="BD70" i="2"/>
  <c r="BB70" i="2"/>
  <c r="E70" i="2"/>
  <c r="B70" i="2"/>
  <c r="BL70" i="2"/>
  <c r="H70" i="2"/>
  <c r="AI70" i="2"/>
  <c r="BG70" i="2"/>
  <c r="BK70" i="2"/>
  <c r="Y70" i="2"/>
  <c r="BC70" i="2"/>
  <c r="AF70" i="2"/>
  <c r="AJ70" i="2"/>
  <c r="AA70" i="2"/>
  <c r="Q70" i="2"/>
  <c r="BJ70" i="2"/>
  <c r="J70" i="2"/>
  <c r="BO70" i="2"/>
  <c r="V70" i="2"/>
  <c r="AI71" i="2"/>
  <c r="AP71" i="2"/>
  <c r="L71" i="2"/>
  <c r="I71" i="2"/>
  <c r="X71" i="2"/>
  <c r="T71" i="2"/>
  <c r="G71" i="2"/>
  <c r="AS71" i="2"/>
  <c r="AA71" i="2"/>
  <c r="AH71" i="2"/>
  <c r="BM71" i="2"/>
  <c r="AJ71" i="2"/>
  <c r="P71" i="2"/>
  <c r="BK71" i="2"/>
  <c r="BJ71" i="2"/>
  <c r="AK71" i="2"/>
  <c r="BO71" i="2"/>
  <c r="C71" i="2"/>
  <c r="J71" i="2"/>
  <c r="AO71" i="2"/>
  <c r="BD71" i="2"/>
  <c r="AL71" i="2"/>
  <c r="AM71" i="2"/>
  <c r="N71" i="2"/>
  <c r="M71" i="2"/>
  <c r="BG71" i="2"/>
  <c r="BN71" i="2"/>
  <c r="B71" i="2"/>
  <c r="AG71" i="2"/>
  <c r="AV71" i="2"/>
  <c r="V71" i="2"/>
  <c r="AE71" i="2"/>
  <c r="AR71" i="2"/>
  <c r="E71" i="2"/>
  <c r="Z71" i="2"/>
  <c r="D71" i="2"/>
  <c r="BC71" i="2"/>
  <c r="AC71" i="2"/>
  <c r="S71" i="2"/>
  <c r="AT71" i="2"/>
  <c r="K71" i="2"/>
  <c r="AD71" i="2"/>
  <c r="F71" i="2"/>
  <c r="R71" i="2"/>
  <c r="BL71" i="2"/>
  <c r="AU71" i="2"/>
  <c r="U71" i="2"/>
  <c r="BH71" i="2"/>
  <c r="Y71" i="2"/>
  <c r="AQ71" i="2"/>
  <c r="AB71" i="2"/>
  <c r="AF71" i="2"/>
  <c r="O71" i="2"/>
  <c r="H71" i="2"/>
  <c r="BB71" i="2"/>
  <c r="BF71" i="2"/>
  <c r="BI71" i="2"/>
  <c r="AX71" i="2"/>
  <c r="Q71" i="2"/>
  <c r="AZ71" i="2"/>
  <c r="BA71" i="2"/>
  <c r="AY71" i="2"/>
  <c r="AN71" i="2"/>
  <c r="W71" i="2"/>
  <c r="BE71" i="2"/>
  <c r="AW71" i="2"/>
  <c r="B75" i="2"/>
  <c r="D22" i="2"/>
  <c r="B67" i="2"/>
  <c r="B74" i="2"/>
  <c r="D24" i="2"/>
  <c r="C24" i="2"/>
  <c r="B50" i="2" a="1"/>
  <c r="B60" i="2" a="1"/>
  <c r="C26" i="2" a="1"/>
  <c r="B55" i="2" a="1"/>
  <c r="B82" i="2" a="1"/>
  <c r="B80" i="2" a="1"/>
  <c r="B58" i="2" a="1"/>
  <c r="B78" i="2" a="1"/>
  <c r="B77" i="2" a="1"/>
  <c r="B83" i="2" a="1"/>
  <c r="B81" i="2" a="1"/>
  <c r="B79" i="2" a="1"/>
  <c r="B38" i="2" a="1"/>
  <c r="B38" i="2" l="1"/>
  <c r="B79" i="2"/>
  <c r="B81" i="2"/>
  <c r="B83" i="2"/>
  <c r="B77" i="2"/>
  <c r="B78" i="2"/>
  <c r="B58" i="2"/>
  <c r="B80" i="2"/>
  <c r="B82" i="2"/>
  <c r="B55" i="2"/>
  <c r="C26" i="2"/>
  <c r="B60" i="2"/>
  <c r="B50" i="2"/>
</calcChain>
</file>

<file path=xl/sharedStrings.xml><?xml version="1.0" encoding="utf-8"?>
<sst xmlns="http://schemas.openxmlformats.org/spreadsheetml/2006/main" count="375" uniqueCount="154">
  <si>
    <t>evaluationDate</t>
  </si>
  <si>
    <t>qlSettingsSetEvaluationDate</t>
  </si>
  <si>
    <t>projection curve</t>
  </si>
  <si>
    <t>discount curve</t>
  </si>
  <si>
    <t>qlEonia</t>
  </si>
  <si>
    <t>qlEuribor</t>
  </si>
  <si>
    <t>amount</t>
  </si>
  <si>
    <t>qlSimpleCashFlow</t>
  </si>
  <si>
    <t>qlRedemption</t>
  </si>
  <si>
    <t>qlAmortizingPayment</t>
  </si>
  <si>
    <t>qlCashFlowDate</t>
  </si>
  <si>
    <t>qlCashFlowAmount</t>
  </si>
  <si>
    <t>payDate</t>
  </si>
  <si>
    <t>qlIndexedCashFlow</t>
  </si>
  <si>
    <t>qlCashFlowHasOccurred</t>
  </si>
  <si>
    <t>qlAsIndexedCashFlow</t>
  </si>
  <si>
    <t>nominal</t>
  </si>
  <si>
    <t>dividend curve</t>
  </si>
  <si>
    <t>qlEquityIndex</t>
  </si>
  <si>
    <t>EvaluationDate (Ref)</t>
  </si>
  <si>
    <t>fixing date</t>
  </si>
  <si>
    <t>start date</t>
  </si>
  <si>
    <t>end date</t>
  </si>
  <si>
    <t>pay date</t>
  </si>
  <si>
    <t>fixed rate</t>
  </si>
  <si>
    <t>daycounter</t>
  </si>
  <si>
    <t>Actual360</t>
  </si>
  <si>
    <t>qlFixedRateCoupon</t>
  </si>
  <si>
    <t>qlIborCoupon</t>
  </si>
  <si>
    <t>qlOvernightIndexedCoupon</t>
  </si>
  <si>
    <t>cap</t>
  </si>
  <si>
    <t>floor</t>
  </si>
  <si>
    <t>qlCappedFlooredIborCoupon</t>
  </si>
  <si>
    <t>qlOvernightIndexedCoupon (arithmetic)</t>
  </si>
  <si>
    <t>multiple reset schedule</t>
  </si>
  <si>
    <t>qlMultipleResetsCoupon</t>
  </si>
  <si>
    <t>tenor</t>
  </si>
  <si>
    <t>calender</t>
  </si>
  <si>
    <t>convention</t>
  </si>
  <si>
    <t>day counter</t>
  </si>
  <si>
    <t>Target</t>
  </si>
  <si>
    <t>3m</t>
  </si>
  <si>
    <t>following</t>
  </si>
  <si>
    <t>qlMakeSchedule</t>
  </si>
  <si>
    <t>ScheduleDates</t>
  </si>
  <si>
    <t>Notionals</t>
  </si>
  <si>
    <t>qlFixedRateLeg</t>
  </si>
  <si>
    <t>qlIborLeg</t>
  </si>
  <si>
    <t>qlOvernightLeg</t>
  </si>
  <si>
    <t>qlCmsLeg</t>
  </si>
  <si>
    <t>qlEuriborSwapIsdaFixA 10y</t>
  </si>
  <si>
    <t>qlEuriborSwapIsdaFixA 2y</t>
  </si>
  <si>
    <t>qlSwapSpreadIndex 10y - 2y</t>
  </si>
  <si>
    <t>qlCmsSpreadLeg</t>
  </si>
  <si>
    <t>qlCmsZeroLeg</t>
  </si>
  <si>
    <t>qlMultipleResetsLeg</t>
  </si>
  <si>
    <t>qlCashFlowsNpv (single coupon)</t>
  </si>
  <si>
    <t>qlCashFlowsBps (single coupon)</t>
  </si>
  <si>
    <t>qlCashFlowsNpv (multiple coupons)</t>
  </si>
  <si>
    <t>qlCashFlowsBps (multiple coupons)</t>
  </si>
  <si>
    <t>qlCashFlowsNpvBps</t>
  </si>
  <si>
    <t>qlCouponNominal</t>
  </si>
  <si>
    <t>qlCouponAccrualStartDate</t>
  </si>
  <si>
    <t>qlCouponAccrualEndDate</t>
  </si>
  <si>
    <t>qlCouponReferencePeriodStart</t>
  </si>
  <si>
    <t>qlCouponReferencePeriodEnd</t>
  </si>
  <si>
    <t>qlCouponExCouponDate</t>
  </si>
  <si>
    <t>qlCouponRate</t>
  </si>
  <si>
    <t>qlCouponAccrualPeriod</t>
  </si>
  <si>
    <t>qlCouponAccrualDays</t>
  </si>
  <si>
    <t>qlCouponDayCounter</t>
  </si>
  <si>
    <t>qlCouponAccruedAmount</t>
  </si>
  <si>
    <t>qlFloatingRateCouponFixingDate</t>
  </si>
  <si>
    <t>qlFloatingRateCouponFixingDays</t>
  </si>
  <si>
    <t>qlFloatingRateCouponIsInArrears</t>
  </si>
  <si>
    <t>qlFloatingRateCouponGearing</t>
  </si>
  <si>
    <t>qlFloatingRateCouponSpread</t>
  </si>
  <si>
    <t>qlFloatingRateCouponIndexFixing</t>
  </si>
  <si>
    <t>qlFloatingRateCouponAdjustedFixing</t>
  </si>
  <si>
    <t>qlFloatingRateCouponConvexityAdjustment</t>
  </si>
  <si>
    <t>qlFloatingRateCouponPrice</t>
  </si>
  <si>
    <t>qlFloatingRateCouponIndex</t>
  </si>
  <si>
    <t>qlIndexName</t>
  </si>
  <si>
    <t>qlBlackIborCouponPricer w/o vol</t>
  </si>
  <si>
    <t>qlCappedFlooredOvernightIndexedCoupon</t>
  </si>
  <si>
    <t>qlCappedFlooredCouponIsCapped</t>
  </si>
  <si>
    <t>qlCappedFlooredCouponIsFloored</t>
  </si>
  <si>
    <t>qlCappedFlooredCouponCap</t>
  </si>
  <si>
    <t>qlCappedFlooredCouponFloor</t>
  </si>
  <si>
    <t>qlCappedFlooredCouponEffectiveCap</t>
  </si>
  <si>
    <t>qlCappedFlooredCouponEffectiveFloor</t>
  </si>
  <si>
    <t>qlOvernightIndexedCouponAveragingMethod</t>
  </si>
  <si>
    <t>qlOvernightIndexedCouponCanApplyTelescopicFormula</t>
  </si>
  <si>
    <t>qlOvernightIndexedCouponApplyObservationShift</t>
  </si>
  <si>
    <t>qlOvernightIndexedCouponCompoundSpreadDaily</t>
  </si>
  <si>
    <t>qlOvernightIndexedCouponLockoutDays</t>
  </si>
  <si>
    <t>qlOvernightIndexedCouponRateComputationStartDate</t>
  </si>
  <si>
    <t>qlOvernightIndexedCouponRateComputationEndDate</t>
  </si>
  <si>
    <t>qlOvernightIndexedCouponValueDates</t>
  </si>
  <si>
    <t>qlOvernightIndexedCouponFixingDates</t>
  </si>
  <si>
    <t>qlOvernightIndexedCouponDt</t>
  </si>
  <si>
    <t>qlOvernightIndexedCouponIndexFixings</t>
  </si>
  <si>
    <t>qlOvernightIndexedCouponEffectiveIndexFixing</t>
  </si>
  <si>
    <t>qlOvernightIndexedCouponEffectiveSpread</t>
  </si>
  <si>
    <t>qlCappedFlooredOvernightIndexedCouponUnderlying</t>
  </si>
  <si>
    <t>qlCappedFlooredOvernightIndexedCouponNakedOption</t>
  </si>
  <si>
    <t>qlCappedFlooredOvernightIndexedCouponDailyCapFloor</t>
  </si>
  <si>
    <t>qlCappedFlooredOvernightIndexedCouponAveragingMethod</t>
  </si>
  <si>
    <t>qlCappedFlooredOvernightIndexedCouponCompoundSpreadDaily</t>
  </si>
  <si>
    <t>qlCappedFlooredOvernightIndexedCouponEffectiveCapletVolatility</t>
  </si>
  <si>
    <t>qlCappedFlooredOvernightIndexedCouponEffectiveFloorletVolatility</t>
  </si>
  <si>
    <t>payment_date</t>
  </si>
  <si>
    <t>start_date</t>
  </si>
  <si>
    <t>end_date</t>
  </si>
  <si>
    <t>fixing_days</t>
  </si>
  <si>
    <t>index</t>
  </si>
  <si>
    <t>gearing</t>
  </si>
  <si>
    <t>spread</t>
  </si>
  <si>
    <t>ref_period_start</t>
  </si>
  <si>
    <t>ref_period_end</t>
  </si>
  <si>
    <t>day_counter</t>
  </si>
  <si>
    <t>is_in_arrears</t>
  </si>
  <si>
    <t>ex_coupon_date,</t>
  </si>
  <si>
    <t>fixing_convention</t>
  </si>
  <si>
    <t>curve</t>
  </si>
  <si>
    <t>reference_date</t>
  </si>
  <si>
    <t>SetevaluationDate</t>
  </si>
  <si>
    <t>actual365fixed</t>
  </si>
  <si>
    <t>Following</t>
  </si>
  <si>
    <t>qlFloatingRateCouponFixingConvention</t>
  </si>
  <si>
    <t>ex_coupon_date</t>
  </si>
  <si>
    <t>qlBlackIborCouponPricer</t>
  </si>
  <si>
    <t>qlFloatingRateCouponSetPricer</t>
  </si>
  <si>
    <t>qlConstantOptionletVolatility</t>
  </si>
  <si>
    <t>overnight_index</t>
  </si>
  <si>
    <t>telescopic_value_dates</t>
  </si>
  <si>
    <t>averaging_method</t>
  </si>
  <si>
    <t>lookback_days</t>
  </si>
  <si>
    <t>lockout_days</t>
  </si>
  <si>
    <t>apply_observation_shift</t>
  </si>
  <si>
    <t>compound_spread</t>
  </si>
  <si>
    <t>rate_computation_start_date</t>
  </si>
  <si>
    <t>rate_computation_end_date</t>
  </si>
  <si>
    <t>compound</t>
  </si>
  <si>
    <t>qlBlackCompoundingOvernightIndexedCouponPricer</t>
  </si>
  <si>
    <t>swap_index</t>
  </si>
  <si>
    <t>ibor_index</t>
  </si>
  <si>
    <t>qlCmsCoupon</t>
  </si>
  <si>
    <t>qlCmsCouponPricer</t>
  </si>
  <si>
    <t>swap_spread_index</t>
  </si>
  <si>
    <t>ibor_index2</t>
  </si>
  <si>
    <t>ibor_index1</t>
  </si>
  <si>
    <t>swap_index_1</t>
  </si>
  <si>
    <t>swap_index_2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</si>
</sst>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0" tint="-0.499984740745262"/>
      <name val="Aptos Narrow"/>
      <scheme val="minor"/>
    </font>
    <font>
      <b/>
      <sz val="11"/>
      <color rgb="FFFF0000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4" fontId="0" fillId="0" borderId="0" xfId="0" applyNumberFormat="1"/>
    <xf numFmtId="1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/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/>
    <xf numFmtId="14" fontId="0" fillId="0" borderId="2" xfId="0" applyNumberFormat="1" applyBorder="1" applyAlignment="1">
      <alignment horizontal="left"/>
    </xf>
    <xf numFmtId="14" fontId="0" fillId="0" borderId="3" xfId="0" applyNumberFormat="1" applyBorder="1" applyAlignment="1">
      <alignment horizontal="left"/>
    </xf>
    <xf numFmtId="0" fontId="0" fillId="0" borderId="7" xfId="0" applyBorder="1"/>
    <xf numFmtId="0" fontId="0" fillId="0" borderId="0" xfId="0" applyBorder="1" applyAlignment="1">
      <alignment horizontal="left"/>
    </xf>
    <xf numFmtId="0" fontId="0" fillId="0" borderId="8" xfId="0" applyBorder="1" applyAlignment="1">
      <alignment horizontal="left"/>
    </xf>
    <xf numFmtId="14" fontId="0" fillId="0" borderId="0" xfId="0" applyNumberFormat="1" applyBorder="1" applyAlignment="1">
      <alignment horizontal="left"/>
    </xf>
    <xf numFmtId="14" fontId="0" fillId="0" borderId="8" xfId="0" applyNumberFormat="1" applyBorder="1" applyAlignment="1">
      <alignment horizontal="left"/>
    </xf>
    <xf numFmtId="0" fontId="4" fillId="0" borderId="4" xfId="0" applyFont="1" applyBorder="1"/>
    <xf numFmtId="0" fontId="4" fillId="0" borderId="9" xfId="0" applyFont="1" applyBorder="1"/>
    <xf numFmtId="14" fontId="0" fillId="0" borderId="10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4" fillId="0" borderId="7" xfId="0" applyFont="1" applyBorder="1"/>
    <xf numFmtId="0" fontId="3" fillId="0" borderId="7" xfId="0" applyFont="1" applyBorder="1"/>
    <xf numFmtId="0" fontId="5" fillId="0" borderId="7" xfId="0" applyFont="1" applyBorder="1"/>
    <xf numFmtId="0" fontId="0" fillId="0" borderId="0" xfId="0" applyNumberFormat="1" applyBorder="1" applyAlignment="1">
      <alignment horizontal="left"/>
    </xf>
    <xf numFmtId="0" fontId="2" fillId="0" borderId="7" xfId="0" applyFont="1" applyBorder="1"/>
    <xf numFmtId="0" fontId="0" fillId="0" borderId="8" xfId="0" applyNumberFormat="1" applyBorder="1" applyAlignment="1">
      <alignment horizontal="left"/>
    </xf>
    <xf numFmtId="0" fontId="5" fillId="0" borderId="1" xfId="0" applyFont="1" applyBorder="1"/>
    <xf numFmtId="0" fontId="6" fillId="0" borderId="4" xfId="0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A8B2-F254-4D98-B6A0-E677E4F5C119}">
  <dimension ref="A1:B2"/>
  <sheetViews>
    <sheetView workbookViewId="0">
      <selection activeCell="A3" sqref="A3"/>
    </sheetView>
  </sheetViews>
  <sheetFormatPr baseColWidth="10" defaultColWidth="9" defaultRowHeight="14.25"/>
  <cols>
    <col min="1" max="1" width="25.25" bestFit="1" customWidth="1"/>
    <col min="2" max="2" width="17.125" customWidth="1"/>
  </cols>
  <sheetData>
    <row r="1" spans="1:2">
      <c r="A1" t="s">
        <v>0</v>
      </c>
      <c r="B1" s="1">
        <v>46146</v>
      </c>
    </row>
    <row r="2" spans="1:2" ht="15">
      <c r="A2" s="3" t="s">
        <v>1</v>
      </c>
      <c r="B2" s="4" t="e">
        <f t="array" aca="1" ref="B2" ca="1">_xll.qlSettingsSetEvaluationDate(B1)</f>
        <v>#VALUE!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5C3A2-660E-4D76-B179-F0DF6BFBAF45}">
  <dimension ref="A1:H15"/>
  <sheetViews>
    <sheetView workbookViewId="0">
      <selection activeCell="E22" sqref="E22"/>
    </sheetView>
  </sheetViews>
  <sheetFormatPr baseColWidth="10" defaultColWidth="9" defaultRowHeight="14.25"/>
  <cols>
    <col min="1" max="1" width="25.125" customWidth="1"/>
    <col min="2" max="2" width="60.5" bestFit="1" customWidth="1"/>
    <col min="3" max="3" width="25.5" customWidth="1"/>
    <col min="4" max="4" width="18.75" customWidth="1"/>
    <col min="5" max="5" width="24.875" customWidth="1"/>
  </cols>
  <sheetData>
    <row r="1" spans="1:8">
      <c r="A1" t="s">
        <v>19</v>
      </c>
      <c r="B1" s="1" t="e">
        <f ca="1">EvaluationDate!B2</f>
        <v>#VALUE!</v>
      </c>
    </row>
    <row r="3" spans="1:8">
      <c r="A3" t="s">
        <v>3</v>
      </c>
      <c r="B3" t="e">
        <f ca="1">_xll.qlFlatForward(B1,0.03,"actual365fixed","Continuous")</f>
        <v>#VALUE!</v>
      </c>
    </row>
    <row r="4" spans="1:8">
      <c r="A4" t="s">
        <v>17</v>
      </c>
      <c r="B4" t="e">
        <f ca="1">_xll.qlFlatForward(B1,0.02,"actual365fixed","Continuous")</f>
        <v>#VALUE!</v>
      </c>
    </row>
    <row r="5" spans="1:8">
      <c r="A5" t="s">
        <v>18</v>
      </c>
      <c r="B5" t="e">
        <f t="array" aca="1" ref="B5" ca="1">_xll.qlEquityIndex("MyIndex","NullCalendar","EUR",100,B3,B4)</f>
        <v>#VALUE!</v>
      </c>
    </row>
    <row r="7" spans="1:8">
      <c r="A7" t="s">
        <v>12</v>
      </c>
      <c r="B7" s="1" t="e">
        <f ca="1">B1+365</f>
        <v>#VALUE!</v>
      </c>
    </row>
    <row r="8" spans="1:8">
      <c r="A8" t="s">
        <v>6</v>
      </c>
      <c r="B8">
        <v>100</v>
      </c>
    </row>
    <row r="9" spans="1:8">
      <c r="B9" s="1"/>
    </row>
    <row r="10" spans="1:8">
      <c r="C10" t="s">
        <v>10</v>
      </c>
      <c r="D10" t="s">
        <v>11</v>
      </c>
      <c r="E10" t="s">
        <v>14</v>
      </c>
    </row>
    <row r="11" spans="1:8">
      <c r="A11" t="s">
        <v>7</v>
      </c>
      <c r="B11" t="e">
        <f t="array" aca="1" ref="B11" ca="1">_xll.qlSimpleCashFlow(B8,B7)</f>
        <v>#VALUE!</v>
      </c>
      <c r="C11" s="1" t="e">
        <f t="array" aca="1" ref="C11" ca="1">_xll.qlCashFlowDate(B11)</f>
        <v>#VALUE!</v>
      </c>
      <c r="D11" t="e">
        <f t="array" aca="1" ref="D11" ca="1">_xll.qlCashFlowAmount(B11)</f>
        <v>#VALUE!</v>
      </c>
      <c r="E11" t="e">
        <f t="array" aca="1" ref="E11" ca="1">_xll.qlCashFlowHasOccurred(B11)</f>
        <v>#VALUE!</v>
      </c>
    </row>
    <row r="12" spans="1:8">
      <c r="A12" t="s">
        <v>8</v>
      </c>
      <c r="B12" t="e">
        <f t="array" aca="1" ref="B12" ca="1">_xll.qlRedemption(B8,B7)</f>
        <v>#VALUE!</v>
      </c>
      <c r="C12" s="1" t="e">
        <f t="array" aca="1" ref="C12" ca="1">_xll.qlCashFlowDate(B12)</f>
        <v>#VALUE!</v>
      </c>
      <c r="D12" t="e">
        <f t="array" aca="1" ref="D12" ca="1">_xll.qlCashFlowAmount(B12)</f>
        <v>#VALUE!</v>
      </c>
      <c r="E12" t="e">
        <f t="array" aca="1" ref="E12" ca="1">_xll.qlCashFlowHasOccurred(B12)</f>
        <v>#VALUE!</v>
      </c>
    </row>
    <row r="13" spans="1:8">
      <c r="A13" t="s">
        <v>9</v>
      </c>
      <c r="B13" t="e">
        <f t="array" aca="1" ref="B13" ca="1">_xll.qlAmortizingPayment(B8,B7)</f>
        <v>#VALUE!</v>
      </c>
      <c r="C13" s="1" t="e">
        <f t="array" aca="1" ref="C13" ca="1">_xll.qlCashFlowDate(B13)</f>
        <v>#VALUE!</v>
      </c>
      <c r="D13" t="e">
        <f t="array" aca="1" ref="D13" ca="1">_xll.qlCashFlowAmount(B13)</f>
        <v>#VALUE!</v>
      </c>
      <c r="E13" t="e">
        <f t="array" aca="1" ref="E13" ca="1">_xll.qlCashFlowHasOccurred(B13)</f>
        <v>#VALUE!</v>
      </c>
    </row>
    <row r="14" spans="1:8">
      <c r="A14" t="s">
        <v>13</v>
      </c>
      <c r="B14" t="e">
        <f t="array" aca="1" ref="B14" ca="1">_xll.qlIndexedCashFlow(B8,B5,B7-180,B7,B7)</f>
        <v>#VALUE!</v>
      </c>
      <c r="C14" s="1" t="e">
        <f t="array" aca="1" ref="C14" ca="1">_xll.qlCashFlowDate(B14)</f>
        <v>#VALUE!</v>
      </c>
      <c r="D14" s="2" t="e">
        <f t="array" aca="1" ref="D14" ca="1">_xll.qlCashFlowAmount(B14)</f>
        <v>#VALUE!</v>
      </c>
      <c r="E14" t="e">
        <f t="array" aca="1" ref="E14" ca="1">_xll.qlCashFlowHasOccurred(B14)</f>
        <v>#VALUE!</v>
      </c>
      <c r="H14" s="2"/>
    </row>
    <row r="15" spans="1:8">
      <c r="A15" t="s">
        <v>15</v>
      </c>
      <c r="B15" t="e">
        <f t="array" aca="1" ref="B15" ca="1">_xll.qlAsIndexedCashFlow(B14)</f>
        <v>#VALUE!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6594-2B3F-411B-9C55-7B2A9E18A8AB}">
  <dimension ref="A1:BP83"/>
  <sheetViews>
    <sheetView tabSelected="1" zoomScale="85" zoomScaleNormal="85" workbookViewId="0">
      <selection activeCell="G14" sqref="G14"/>
    </sheetView>
  </sheetViews>
  <sheetFormatPr baseColWidth="10" defaultColWidth="9" defaultRowHeight="14.25"/>
  <cols>
    <col min="1" max="1" width="46.625" bestFit="1" customWidth="1"/>
    <col min="2" max="2" width="69.5" bestFit="1" customWidth="1"/>
    <col min="3" max="3" width="15.125" customWidth="1"/>
    <col min="4" max="68" width="10.125" bestFit="1" customWidth="1"/>
  </cols>
  <sheetData>
    <row r="1" spans="1:2">
      <c r="A1" t="s">
        <v>19</v>
      </c>
      <c r="B1" s="1" t="e">
        <f ca="1">EvaluationDate!B2</f>
        <v>#VALUE!</v>
      </c>
    </row>
    <row r="3" spans="1:2">
      <c r="A3" t="s">
        <v>2</v>
      </c>
      <c r="B3" t="e">
        <f ca="1">_xll.qlFlatForward(B1,0.03,"actual365fixed","Continuous")</f>
        <v>#VALUE!</v>
      </c>
    </row>
    <row r="5" spans="1:2">
      <c r="A5" t="s">
        <v>4</v>
      </c>
      <c r="B5" t="e">
        <f t="array" aca="1" ref="B5" ca="1">_xll.qlEonia(B3)</f>
        <v>#VALUE!</v>
      </c>
    </row>
    <row r="6" spans="1:2">
      <c r="A6" t="s">
        <v>5</v>
      </c>
      <c r="B6" t="e">
        <f t="array" aca="1" ref="B6" ca="1">_xll.qlEuribor("3m",B3)</f>
        <v>#VALUE!</v>
      </c>
    </row>
    <row r="8" spans="1:2">
      <c r="A8" t="s">
        <v>16</v>
      </c>
      <c r="B8">
        <v>100</v>
      </c>
    </row>
    <row r="9" spans="1:2">
      <c r="A9" t="s">
        <v>24</v>
      </c>
      <c r="B9">
        <v>0.03</v>
      </c>
    </row>
    <row r="10" spans="1:2">
      <c r="A10" t="s">
        <v>25</v>
      </c>
      <c r="B10" t="s">
        <v>26</v>
      </c>
    </row>
    <row r="11" spans="1:2">
      <c r="A11" t="s">
        <v>30</v>
      </c>
      <c r="B11">
        <v>0.05</v>
      </c>
    </row>
    <row r="12" spans="1:2">
      <c r="A12" t="s">
        <v>31</v>
      </c>
      <c r="B12">
        <v>0.01</v>
      </c>
    </row>
    <row r="14" spans="1:2">
      <c r="A14" t="s">
        <v>20</v>
      </c>
      <c r="B14" s="1" t="e">
        <f t="array" aca="1" ref="B14" ca="1">_xll.qlCalendarAdvance2("Target",B1,3,"Months","Following")</f>
        <v>#VALUE!</v>
      </c>
    </row>
    <row r="15" spans="1:2">
      <c r="A15" t="s">
        <v>21</v>
      </c>
      <c r="B15" s="1" t="e">
        <f t="array" aca="1" ref="B15" ca="1">_xll.qlInterestRateIndexValueDate(B6,B14)</f>
        <v>#VALUE!</v>
      </c>
    </row>
    <row r="16" spans="1:2">
      <c r="A16" t="s">
        <v>22</v>
      </c>
      <c r="B16" s="1" t="e">
        <f t="array" aca="1" ref="B16" ca="1">_xll.qlInterestRateIndexMaturityDate(B6,B15)</f>
        <v>#VALUE!</v>
      </c>
    </row>
    <row r="17" spans="1:4">
      <c r="A17" t="s">
        <v>23</v>
      </c>
      <c r="B17" s="1" t="e">
        <f ca="1">B16</f>
        <v>#VALUE!</v>
      </c>
    </row>
    <row r="18" spans="1:4">
      <c r="A18" t="s">
        <v>34</v>
      </c>
      <c r="B18" s="1" t="e">
        <f t="array" aca="1" ref="B18" ca="1">_xll.qlMakeSchedule(B15,B16,"1m",,"Target","following")</f>
        <v>#VALUE!</v>
      </c>
    </row>
    <row r="20" spans="1:4">
      <c r="A20" t="s">
        <v>27</v>
      </c>
      <c r="B20" t="e">
        <f t="array" aca="1" ref="B20" ca="1">_xll.qlFixedRateCoupon(B17,B8,B9,B10,B15,B16)</f>
        <v>#VALUE!</v>
      </c>
      <c r="C20" s="1" t="e">
        <f t="array" aca="1" ref="C20" ca="1">_xll.qlCashFlowDate(B20)</f>
        <v>#VALUE!</v>
      </c>
      <c r="D20" t="e">
        <f t="array" aca="1" ref="D20" ca="1">_xll.qlCashFlowAmount(B20)</f>
        <v>#VALUE!</v>
      </c>
    </row>
    <row r="21" spans="1:4">
      <c r="A21" t="s">
        <v>28</v>
      </c>
      <c r="B21" t="e">
        <f t="array" aca="1" ref="B21" ca="1">_xll.qlIborCoupon(B17,B8,B15,B16,_xll.qlInterestRateIndexFixingDays(B6),B6)</f>
        <v>#VALUE!</v>
      </c>
      <c r="C21" s="1" t="e">
        <f t="array" aca="1" ref="C21" ca="1">_xll.qlCashFlowDate(B21)</f>
        <v>#VALUE!</v>
      </c>
      <c r="D21" t="e">
        <f t="array" aca="1" ref="D21" ca="1">_xll.qlCashFlowAmount(B21)</f>
        <v>#VALUE!</v>
      </c>
    </row>
    <row r="22" spans="1:4">
      <c r="A22" t="s">
        <v>29</v>
      </c>
      <c r="B22" s="6" t="e">
        <f ca="1">_xll.qlOvernightIndexedCoupon(B17,B8,B15,B16,B5)</f>
        <v>#VALUE!</v>
      </c>
      <c r="C22" s="1" t="e">
        <f t="array" aca="1" ref="C22" ca="1">_xll.qlCashFlowDate(B22)</f>
        <v>#VALUE!</v>
      </c>
      <c r="D22" t="e">
        <f t="array" aca="1" ref="D22" ca="1">_xll.qlCashFlowAmount(B22)</f>
        <v>#VALUE!</v>
      </c>
    </row>
    <row r="23" spans="1:4">
      <c r="A23" t="s">
        <v>33</v>
      </c>
      <c r="B23" s="6" t="e">
        <f t="array" aca="1" ref="B23" ca="1">_xll.qlOvernightIndexedCoupon(B17,B8,B15,B16,B5,,,,,,,"Simple")</f>
        <v>#VALUE!</v>
      </c>
      <c r="C23" s="1" t="e">
        <f t="array" aca="1" ref="C23" ca="1">_xll.qlCashFlowDate(B23)</f>
        <v>#VALUE!</v>
      </c>
      <c r="D23" t="e">
        <f t="array" aca="1" ref="D23" ca="1">_xll.qlCashFlowAmount(B23)</f>
        <v>#VALUE!</v>
      </c>
    </row>
    <row r="24" spans="1:4">
      <c r="A24" t="s">
        <v>35</v>
      </c>
      <c r="B24" s="6" t="e">
        <f t="array" aca="1" ref="B24" ca="1">_xll.qlMultipleResetsCoupon(B17,B8,B18,2,B6)</f>
        <v>#VALUE!</v>
      </c>
      <c r="C24" s="1" t="e">
        <f t="array" aca="1" ref="C24" ca="1">_xll.qlCashFlowDate(B24)</f>
        <v>#VALUE!</v>
      </c>
      <c r="D24" t="e">
        <f t="array" aca="1" ref="D24" ca="1">_xll.qlCashFlowAmount(B24)</f>
        <v>#VALUE!</v>
      </c>
    </row>
    <row r="25" spans="1:4">
      <c r="A25" t="s">
        <v>32</v>
      </c>
      <c r="B25" t="e">
        <f t="array" aca="1" ref="B25" ca="1">_xll.qlCappedFlooredIborCoupon(B17,B8,B15,B16,2,B6,,,B11)</f>
        <v>#VALUE!</v>
      </c>
      <c r="C25" s="1" t="e">
        <f t="array" aca="1" ref="C25" ca="1">_xll.qlCashFlowDate(B25)</f>
        <v>#VALUE!</v>
      </c>
    </row>
    <row r="26" spans="1:4">
      <c r="A26" t="s">
        <v>84</v>
      </c>
      <c r="B26" t="e">
        <f ca="1">_xll.qlCappedFlooredOvernightIndexedCoupon(B22,0.05,0.01)</f>
        <v>#VALUE!</v>
      </c>
      <c r="C26" s="1" t="e">
        <f t="array" aca="1" ref="C26" ca="1">_xll.qlCashFlowDate(B26)</f>
        <v>#VALUE!</v>
      </c>
    </row>
    <row r="28" spans="1:4">
      <c r="A28" t="s">
        <v>61</v>
      </c>
      <c r="B28" t="e">
        <f t="array" aca="1" ref="B28" ca="1">_xll.qlCouponNominal(B21)</f>
        <v>#VALUE!</v>
      </c>
    </row>
    <row r="29" spans="1:4">
      <c r="A29" t="s">
        <v>62</v>
      </c>
      <c r="B29" s="1" t="e">
        <f t="array" aca="1" ref="B29" ca="1">_xll.qlCouponAccrualStartDate(B21)</f>
        <v>#VALUE!</v>
      </c>
    </row>
    <row r="30" spans="1:4">
      <c r="A30" t="s">
        <v>63</v>
      </c>
      <c r="B30" s="1" t="e">
        <f t="array" aca="1" ref="B30" ca="1">_xll.qlCouponAccrualEndDate(B21)</f>
        <v>#VALUE!</v>
      </c>
    </row>
    <row r="31" spans="1:4">
      <c r="A31" t="s">
        <v>64</v>
      </c>
      <c r="B31" s="1" t="e">
        <f t="array" aca="1" ref="B31" ca="1">_xll.qlCouponReferencePeriodStart(B21)</f>
        <v>#VALUE!</v>
      </c>
    </row>
    <row r="32" spans="1:4">
      <c r="A32" t="s">
        <v>65</v>
      </c>
      <c r="B32" s="1" t="e">
        <f t="array" aca="1" ref="B32" ca="1">_xll.qlCouponReferencePeriodEnd(B21)</f>
        <v>#VALUE!</v>
      </c>
    </row>
    <row r="33" spans="1:2">
      <c r="A33" t="s">
        <v>66</v>
      </c>
      <c r="B33" t="e">
        <f t="array" aca="1" ref="B33" ca="1">_xll.qlCouponExCouponDate(B21)</f>
        <v>#VALUE!</v>
      </c>
    </row>
    <row r="34" spans="1:2">
      <c r="A34" t="s">
        <v>67</v>
      </c>
      <c r="B34" t="e">
        <f t="array" aca="1" ref="B34" ca="1">_xll.qlCouponRate(B21)</f>
        <v>#VALUE!</v>
      </c>
    </row>
    <row r="35" spans="1:2">
      <c r="A35" t="s">
        <v>68</v>
      </c>
      <c r="B35" t="e">
        <f t="array" aca="1" ref="B35" ca="1">_xll.qlCouponAccrualPeriod(B21)</f>
        <v>#VALUE!</v>
      </c>
    </row>
    <row r="36" spans="1:2">
      <c r="A36" t="s">
        <v>69</v>
      </c>
      <c r="B36" t="e">
        <f t="array" aca="1" ref="B36" ca="1">_xll.qlCouponAccrualDays(B21)</f>
        <v>#VALUE!</v>
      </c>
    </row>
    <row r="37" spans="1:2">
      <c r="A37" t="s">
        <v>70</v>
      </c>
      <c r="B37" t="e">
        <f t="array" aca="1" ref="B37" ca="1">_xll.qlCouponDayCounter(B21)</f>
        <v>#VALUE!</v>
      </c>
    </row>
    <row r="38" spans="1:2">
      <c r="A38" t="s">
        <v>71</v>
      </c>
      <c r="B38" t="e">
        <f t="array" aca="1" ref="B38" ca="1">_xll.qlCouponAccruedAmount(B21,B29+10)</f>
        <v>#VALUE!</v>
      </c>
    </row>
    <row r="40" spans="1:2">
      <c r="A40" t="s">
        <v>72</v>
      </c>
      <c r="B40" s="1" t="e">
        <f t="array" aca="1" ref="B40" ca="1">_xll.qlFloatingRateCouponFixingDate(B21)</f>
        <v>#VALUE!</v>
      </c>
    </row>
    <row r="41" spans="1:2">
      <c r="A41" t="s">
        <v>73</v>
      </c>
      <c r="B41" t="e">
        <f t="array" aca="1" ref="B41" ca="1">_xll.qlFloatingRateCouponFixingDays(B21)</f>
        <v>#VALUE!</v>
      </c>
    </row>
    <row r="42" spans="1:2">
      <c r="A42" t="s">
        <v>74</v>
      </c>
      <c r="B42" t="e">
        <f t="array" aca="1" ref="B42" ca="1">_xll.qlFloatingRateCouponIsInArrears(B21)</f>
        <v>#VALUE!</v>
      </c>
    </row>
    <row r="43" spans="1:2">
      <c r="A43" t="s">
        <v>75</v>
      </c>
      <c r="B43" t="e">
        <f t="array" aca="1" ref="B43" ca="1">_xll.qlFloatingRateCouponGearing(B21)</f>
        <v>#VALUE!</v>
      </c>
    </row>
    <row r="44" spans="1:2">
      <c r="A44" t="s">
        <v>76</v>
      </c>
      <c r="B44" t="e">
        <f t="array" aca="1" ref="B44" ca="1">_xll.qlFloatingRateCouponSpread(B21)</f>
        <v>#VALUE!</v>
      </c>
    </row>
    <row r="45" spans="1:2">
      <c r="A45" t="s">
        <v>77</v>
      </c>
      <c r="B45" t="e">
        <f t="array" aca="1" ref="B45" ca="1">_xll.qlFloatingRateCouponIndexFixing(B21)</f>
        <v>#VALUE!</v>
      </c>
    </row>
    <row r="46" spans="1:2">
      <c r="A46" t="s">
        <v>78</v>
      </c>
      <c r="B46" t="e">
        <f t="array" aca="1" ref="B46" ca="1">_xll.qlFloatingRateCouponAdjustedFixing(B21)</f>
        <v>#VALUE!</v>
      </c>
    </row>
    <row r="47" spans="1:2">
      <c r="A47" t="s">
        <v>79</v>
      </c>
      <c r="B47" t="e">
        <f t="array" aca="1" ref="B47" ca="1">_xll.qlFloatingRateCouponConvexityAdjustment(B21)</f>
        <v>#VALUE!</v>
      </c>
    </row>
    <row r="48" spans="1:2">
      <c r="A48" t="s">
        <v>80</v>
      </c>
      <c r="B48" t="e">
        <f t="array" aca="1" ref="B48" ca="1">_xll.qlFloatingRateCouponPrice(B21,B3)</f>
        <v>#VALUE!</v>
      </c>
    </row>
    <row r="49" spans="1:2">
      <c r="A49" t="s">
        <v>81</v>
      </c>
      <c r="B49" t="e">
        <f t="array" aca="1" ref="B49" ca="1">_xll.qlFloatingRateCouponIndex(B21)</f>
        <v>#VALUE!</v>
      </c>
    </row>
    <row r="50" spans="1:2">
      <c r="A50" t="s">
        <v>82</v>
      </c>
      <c r="B50" t="e">
        <f t="array" aca="1" ref="B50" ca="1">_xll.qlIndexName(B49)</f>
        <v>#VALUE!</v>
      </c>
    </row>
    <row r="51" spans="1:2">
      <c r="A51" t="s">
        <v>83</v>
      </c>
      <c r="B51" t="e">
        <f t="array" aca="1" ref="B51" ca="1">_xll.qlBlackIborCouponPricer()</f>
        <v>#VALUE!</v>
      </c>
    </row>
    <row r="52" spans="1:2">
      <c r="B52" t="e">
        <f t="array" aca="1" ref="B52" ca="1">_xll.qlFloatingRateCouponSetPricer(B21,B51)</f>
        <v>#VALUE!</v>
      </c>
    </row>
    <row r="54" spans="1:2">
      <c r="A54" t="s">
        <v>85</v>
      </c>
      <c r="B54" t="e">
        <f t="array" aca="1" ref="B54" ca="1">_xll.qlCappedFlooredCouponIsCapped(B25)</f>
        <v>#VALUE!</v>
      </c>
    </row>
    <row r="55" spans="1:2">
      <c r="A55" t="s">
        <v>85</v>
      </c>
      <c r="B55" t="e">
        <f t="array" aca="1" ref="B55" ca="1">_xll.qlCappedFlooredCouponIsCapped(B26)</f>
        <v>#VALUE!</v>
      </c>
    </row>
    <row r="56" spans="1:2">
      <c r="A56" t="s">
        <v>86</v>
      </c>
      <c r="B56" t="e">
        <f t="array" aca="1" ref="B56" ca="1">_xll.qlCappedFlooredCouponIsFloored(B25)</f>
        <v>#VALUE!</v>
      </c>
    </row>
    <row r="57" spans="1:2">
      <c r="A57" t="s">
        <v>87</v>
      </c>
      <c r="B57" t="e">
        <f t="array" aca="1" ref="B57" ca="1">_xll.qlCappedFlooredCouponCap(B25)</f>
        <v>#VALUE!</v>
      </c>
    </row>
    <row r="58" spans="1:2">
      <c r="A58" t="s">
        <v>88</v>
      </c>
      <c r="B58" t="e">
        <f t="array" aca="1" ref="B58" ca="1">_xll.qlCappedFlooredCouponFloor(B26)</f>
        <v>#VALUE!</v>
      </c>
    </row>
    <row r="59" spans="1:2">
      <c r="A59" t="s">
        <v>89</v>
      </c>
      <c r="B59" t="e">
        <f t="array" aca="1" ref="B59" ca="1">_xll.qlCappedFlooredCouponEffectiveCap(B25)</f>
        <v>#VALUE!</v>
      </c>
    </row>
    <row r="60" spans="1:2">
      <c r="A60" t="s">
        <v>90</v>
      </c>
      <c r="B60" t="e">
        <f t="array" aca="1" ref="B60" ca="1">_xll.qlCappedFlooredCouponEffectiveFloor(B26)</f>
        <v>#VALUE!</v>
      </c>
    </row>
    <row r="62" spans="1:2">
      <c r="A62" t="s">
        <v>91</v>
      </c>
      <c r="B62" t="e">
        <f t="array" aca="1" ref="B62" ca="1">_xll.qlOvernightIndexedCouponAveragingMethod(B22)</f>
        <v>#VALUE!</v>
      </c>
    </row>
    <row r="63" spans="1:2">
      <c r="A63" t="s">
        <v>91</v>
      </c>
      <c r="B63" t="e">
        <f t="array" aca="1" ref="B63" ca="1">_xll.qlOvernightIndexedCouponAveragingMethod(B23)</f>
        <v>#VALUE!</v>
      </c>
    </row>
    <row r="64" spans="1:2">
      <c r="A64" t="s">
        <v>92</v>
      </c>
      <c r="B64" t="e">
        <f t="array" aca="1" ref="B64" ca="1">_xll.qlOvernightIndexedCouponCanApplyTelescopicFormula(B22)</f>
        <v>#VALUE!</v>
      </c>
    </row>
    <row r="65" spans="1:68">
      <c r="A65" t="s">
        <v>93</v>
      </c>
      <c r="B65" t="e">
        <f t="array" aca="1" ref="B65" ca="1">_xll.qlOvernightIndexedCouponApplyObservationShift(B22)</f>
        <v>#VALUE!</v>
      </c>
    </row>
    <row r="66" spans="1:68">
      <c r="A66" t="s">
        <v>94</v>
      </c>
      <c r="B66" t="e">
        <f t="array" aca="1" ref="B66" ca="1">_xll.qlOvernightIndexedCouponCompoundSpreadDaily(B23)</f>
        <v>#VALUE!</v>
      </c>
    </row>
    <row r="67" spans="1:68">
      <c r="A67" t="s">
        <v>95</v>
      </c>
      <c r="B67" t="e">
        <f t="array" aca="1" ref="B67" ca="1">_xll.qlOvernightIndexedCouponLockoutDays(B22)</f>
        <v>#VALUE!</v>
      </c>
    </row>
    <row r="68" spans="1:68">
      <c r="A68" t="s">
        <v>96</v>
      </c>
      <c r="B68" t="e">
        <f t="array" aca="1" ref="B68" ca="1">_xll.qlOvernightIndexedCouponRateComputationStartDate(B22)</f>
        <v>#VALUE!</v>
      </c>
    </row>
    <row r="69" spans="1:68">
      <c r="A69" t="s">
        <v>97</v>
      </c>
      <c r="B69" t="e">
        <f t="array" aca="1" ref="B69" ca="1">_xll.qlOvernightIndexedCouponRateComputationEndDate(B22)</f>
        <v>#VALUE!</v>
      </c>
    </row>
    <row r="70" spans="1:68">
      <c r="A70" t="s">
        <v>98</v>
      </c>
      <c r="B70" s="1" t="e">
        <f t="array" aca="1" ref="B70:BP70" ca="1">TRANSPOSE(_xll.qlOvernightIndexedCouponValueDates(B22))</f>
        <v>#VALUE!</v>
      </c>
      <c r="C70" s="1" t="e">
        <f ca="1"/>
        <v>#VALUE!</v>
      </c>
      <c r="D70" s="1" t="e">
        <f ca="1"/>
        <v>#VALUE!</v>
      </c>
      <c r="E70" s="1" t="e">
        <f ca="1"/>
        <v>#VALUE!</v>
      </c>
      <c r="F70" s="1" t="e">
        <f ca="1"/>
        <v>#VALUE!</v>
      </c>
      <c r="G70" s="1" t="e">
        <f ca="1"/>
        <v>#VALUE!</v>
      </c>
      <c r="H70" s="1" t="e">
        <f ca="1"/>
        <v>#VALUE!</v>
      </c>
      <c r="I70" s="1" t="e">
        <f ca="1"/>
        <v>#VALUE!</v>
      </c>
      <c r="J70" s="1" t="e">
        <f ca="1"/>
        <v>#VALUE!</v>
      </c>
      <c r="K70" s="1" t="e">
        <f ca="1"/>
        <v>#VALUE!</v>
      </c>
      <c r="L70" s="1" t="e">
        <f ca="1"/>
        <v>#VALUE!</v>
      </c>
      <c r="M70" s="1" t="e">
        <f ca="1"/>
        <v>#VALUE!</v>
      </c>
      <c r="N70" s="1" t="e">
        <f ca="1"/>
        <v>#VALUE!</v>
      </c>
      <c r="O70" s="1" t="e">
        <f ca="1"/>
        <v>#VALUE!</v>
      </c>
      <c r="P70" s="1" t="e">
        <f ca="1"/>
        <v>#VALUE!</v>
      </c>
      <c r="Q70" s="1" t="e">
        <f ca="1"/>
        <v>#VALUE!</v>
      </c>
      <c r="R70" s="1" t="e">
        <f ca="1"/>
        <v>#VALUE!</v>
      </c>
      <c r="S70" s="1" t="e">
        <f ca="1"/>
        <v>#VALUE!</v>
      </c>
      <c r="T70" s="1" t="e">
        <f ca="1"/>
        <v>#VALUE!</v>
      </c>
      <c r="U70" s="1" t="e">
        <f ca="1"/>
        <v>#VALUE!</v>
      </c>
      <c r="V70" s="1" t="e">
        <f ca="1"/>
        <v>#VALUE!</v>
      </c>
      <c r="W70" s="1" t="e">
        <f ca="1"/>
        <v>#VALUE!</v>
      </c>
      <c r="X70" s="1" t="e">
        <f ca="1"/>
        <v>#VALUE!</v>
      </c>
      <c r="Y70" s="1" t="e">
        <f ca="1"/>
        <v>#VALUE!</v>
      </c>
      <c r="Z70" s="1" t="e">
        <f ca="1"/>
        <v>#VALUE!</v>
      </c>
      <c r="AA70" s="1" t="e">
        <f ca="1"/>
        <v>#VALUE!</v>
      </c>
      <c r="AB70" s="1" t="e">
        <f ca="1"/>
        <v>#VALUE!</v>
      </c>
      <c r="AC70" s="1" t="e">
        <f ca="1"/>
        <v>#VALUE!</v>
      </c>
      <c r="AD70" s="1" t="e">
        <f ca="1"/>
        <v>#VALUE!</v>
      </c>
      <c r="AE70" s="1" t="e">
        <f ca="1"/>
        <v>#VALUE!</v>
      </c>
      <c r="AF70" s="1" t="e">
        <f ca="1"/>
        <v>#VALUE!</v>
      </c>
      <c r="AG70" s="1" t="e">
        <f ca="1"/>
        <v>#VALUE!</v>
      </c>
      <c r="AH70" s="1" t="e">
        <f ca="1"/>
        <v>#VALUE!</v>
      </c>
      <c r="AI70" s="1" t="e">
        <f ca="1"/>
        <v>#VALUE!</v>
      </c>
      <c r="AJ70" s="1" t="e">
        <f ca="1"/>
        <v>#VALUE!</v>
      </c>
      <c r="AK70" s="1" t="e">
        <f ca="1"/>
        <v>#VALUE!</v>
      </c>
      <c r="AL70" s="1" t="e">
        <f ca="1"/>
        <v>#VALUE!</v>
      </c>
      <c r="AM70" s="1" t="e">
        <f ca="1"/>
        <v>#VALUE!</v>
      </c>
      <c r="AN70" s="1" t="e">
        <f ca="1"/>
        <v>#VALUE!</v>
      </c>
      <c r="AO70" s="1" t="e">
        <f ca="1"/>
        <v>#VALUE!</v>
      </c>
      <c r="AP70" s="1" t="e">
        <f ca="1"/>
        <v>#VALUE!</v>
      </c>
      <c r="AQ70" s="1" t="e">
        <f ca="1"/>
        <v>#VALUE!</v>
      </c>
      <c r="AR70" s="1" t="e">
        <f ca="1"/>
        <v>#VALUE!</v>
      </c>
      <c r="AS70" s="1" t="e">
        <f ca="1"/>
        <v>#VALUE!</v>
      </c>
      <c r="AT70" s="1" t="e">
        <f ca="1"/>
        <v>#VALUE!</v>
      </c>
      <c r="AU70" s="1" t="e">
        <f ca="1"/>
        <v>#VALUE!</v>
      </c>
      <c r="AV70" s="1" t="e">
        <f ca="1"/>
        <v>#VALUE!</v>
      </c>
      <c r="AW70" s="1" t="e">
        <f ca="1"/>
        <v>#VALUE!</v>
      </c>
      <c r="AX70" s="1" t="e">
        <f ca="1"/>
        <v>#VALUE!</v>
      </c>
      <c r="AY70" s="1" t="e">
        <f ca="1"/>
        <v>#VALUE!</v>
      </c>
      <c r="AZ70" s="1" t="e">
        <f ca="1"/>
        <v>#VALUE!</v>
      </c>
      <c r="BA70" s="1" t="e">
        <f ca="1"/>
        <v>#VALUE!</v>
      </c>
      <c r="BB70" s="1" t="e">
        <f ca="1"/>
        <v>#VALUE!</v>
      </c>
      <c r="BC70" s="1" t="e">
        <f ca="1"/>
        <v>#VALUE!</v>
      </c>
      <c r="BD70" s="1" t="e">
        <f ca="1"/>
        <v>#VALUE!</v>
      </c>
      <c r="BE70" s="1" t="e">
        <f ca="1"/>
        <v>#VALUE!</v>
      </c>
      <c r="BF70" s="1" t="e">
        <f ca="1"/>
        <v>#VALUE!</v>
      </c>
      <c r="BG70" s="1" t="e">
        <f ca="1"/>
        <v>#VALUE!</v>
      </c>
      <c r="BH70" s="1" t="e">
        <f ca="1"/>
        <v>#VALUE!</v>
      </c>
      <c r="BI70" s="1" t="e">
        <f ca="1"/>
        <v>#VALUE!</v>
      </c>
      <c r="BJ70" s="1" t="e">
        <f ca="1"/>
        <v>#VALUE!</v>
      </c>
      <c r="BK70" s="1" t="e">
        <f ca="1"/>
        <v>#VALUE!</v>
      </c>
      <c r="BL70" s="1" t="e">
        <f ca="1"/>
        <v>#VALUE!</v>
      </c>
      <c r="BM70" s="1" t="e">
        <f ca="1"/>
        <v>#VALUE!</v>
      </c>
      <c r="BN70" s="1" t="e">
        <f ca="1"/>
        <v>#VALUE!</v>
      </c>
      <c r="BO70" s="1" t="e">
        <f ca="1"/>
        <v>#VALUE!</v>
      </c>
      <c r="BP70" s="1" t="e">
        <f ca="1"/>
        <v>#VALUE!</v>
      </c>
    </row>
    <row r="71" spans="1:68">
      <c r="A71" t="s">
        <v>99</v>
      </c>
      <c r="B71" s="1" t="e">
        <f t="array" aca="1" ref="B71:BO71" ca="1">TRANSPOSE(_xll.qlOvernightIndexedCouponFixingDates(B22))</f>
        <v>#VALUE!</v>
      </c>
      <c r="C71" s="1" t="e">
        <f ca="1"/>
        <v>#VALUE!</v>
      </c>
      <c r="D71" s="1" t="e">
        <f ca="1"/>
        <v>#VALUE!</v>
      </c>
      <c r="E71" s="1" t="e">
        <f ca="1"/>
        <v>#VALUE!</v>
      </c>
      <c r="F71" s="1" t="e">
        <f ca="1"/>
        <v>#VALUE!</v>
      </c>
      <c r="G71" s="1" t="e">
        <f ca="1"/>
        <v>#VALUE!</v>
      </c>
      <c r="H71" s="1" t="e">
        <f ca="1"/>
        <v>#VALUE!</v>
      </c>
      <c r="I71" s="1" t="e">
        <f ca="1"/>
        <v>#VALUE!</v>
      </c>
      <c r="J71" s="1" t="e">
        <f ca="1"/>
        <v>#VALUE!</v>
      </c>
      <c r="K71" s="1" t="e">
        <f ca="1"/>
        <v>#VALUE!</v>
      </c>
      <c r="L71" s="1" t="e">
        <f ca="1"/>
        <v>#VALUE!</v>
      </c>
      <c r="M71" s="1" t="e">
        <f ca="1"/>
        <v>#VALUE!</v>
      </c>
      <c r="N71" s="1" t="e">
        <f ca="1"/>
        <v>#VALUE!</v>
      </c>
      <c r="O71" s="1" t="e">
        <f ca="1"/>
        <v>#VALUE!</v>
      </c>
      <c r="P71" s="1" t="e">
        <f ca="1"/>
        <v>#VALUE!</v>
      </c>
      <c r="Q71" s="1" t="e">
        <f ca="1"/>
        <v>#VALUE!</v>
      </c>
      <c r="R71" s="1" t="e">
        <f ca="1"/>
        <v>#VALUE!</v>
      </c>
      <c r="S71" s="1" t="e">
        <f ca="1"/>
        <v>#VALUE!</v>
      </c>
      <c r="T71" s="1" t="e">
        <f ca="1"/>
        <v>#VALUE!</v>
      </c>
      <c r="U71" s="1" t="e">
        <f ca="1"/>
        <v>#VALUE!</v>
      </c>
      <c r="V71" s="1" t="e">
        <f ca="1"/>
        <v>#VALUE!</v>
      </c>
      <c r="W71" s="1" t="e">
        <f ca="1"/>
        <v>#VALUE!</v>
      </c>
      <c r="X71" s="1" t="e">
        <f ca="1"/>
        <v>#VALUE!</v>
      </c>
      <c r="Y71" s="1" t="e">
        <f ca="1"/>
        <v>#VALUE!</v>
      </c>
      <c r="Z71" s="1" t="e">
        <f ca="1"/>
        <v>#VALUE!</v>
      </c>
      <c r="AA71" s="1" t="e">
        <f ca="1"/>
        <v>#VALUE!</v>
      </c>
      <c r="AB71" s="1" t="e">
        <f ca="1"/>
        <v>#VALUE!</v>
      </c>
      <c r="AC71" s="1" t="e">
        <f ca="1"/>
        <v>#VALUE!</v>
      </c>
      <c r="AD71" s="1" t="e">
        <f ca="1"/>
        <v>#VALUE!</v>
      </c>
      <c r="AE71" s="1" t="e">
        <f ca="1"/>
        <v>#VALUE!</v>
      </c>
      <c r="AF71" s="1" t="e">
        <f ca="1"/>
        <v>#VALUE!</v>
      </c>
      <c r="AG71" s="1" t="e">
        <f ca="1"/>
        <v>#VALUE!</v>
      </c>
      <c r="AH71" s="1" t="e">
        <f ca="1"/>
        <v>#VALUE!</v>
      </c>
      <c r="AI71" s="1" t="e">
        <f ca="1"/>
        <v>#VALUE!</v>
      </c>
      <c r="AJ71" s="1" t="e">
        <f ca="1"/>
        <v>#VALUE!</v>
      </c>
      <c r="AK71" s="1" t="e">
        <f ca="1"/>
        <v>#VALUE!</v>
      </c>
      <c r="AL71" s="1" t="e">
        <f ca="1"/>
        <v>#VALUE!</v>
      </c>
      <c r="AM71" s="1" t="e">
        <f ca="1"/>
        <v>#VALUE!</v>
      </c>
      <c r="AN71" s="1" t="e">
        <f ca="1"/>
        <v>#VALUE!</v>
      </c>
      <c r="AO71" s="1" t="e">
        <f ca="1"/>
        <v>#VALUE!</v>
      </c>
      <c r="AP71" s="1" t="e">
        <f ca="1"/>
        <v>#VALUE!</v>
      </c>
      <c r="AQ71" s="1" t="e">
        <f ca="1"/>
        <v>#VALUE!</v>
      </c>
      <c r="AR71" s="1" t="e">
        <f ca="1"/>
        <v>#VALUE!</v>
      </c>
      <c r="AS71" s="1" t="e">
        <f ca="1"/>
        <v>#VALUE!</v>
      </c>
      <c r="AT71" s="1" t="e">
        <f ca="1"/>
        <v>#VALUE!</v>
      </c>
      <c r="AU71" s="1" t="e">
        <f ca="1"/>
        <v>#VALUE!</v>
      </c>
      <c r="AV71" s="1" t="e">
        <f ca="1"/>
        <v>#VALUE!</v>
      </c>
      <c r="AW71" s="1" t="e">
        <f ca="1"/>
        <v>#VALUE!</v>
      </c>
      <c r="AX71" s="1" t="e">
        <f ca="1"/>
        <v>#VALUE!</v>
      </c>
      <c r="AY71" s="1" t="e">
        <f ca="1"/>
        <v>#VALUE!</v>
      </c>
      <c r="AZ71" s="1" t="e">
        <f ca="1"/>
        <v>#VALUE!</v>
      </c>
      <c r="BA71" s="1" t="e">
        <f ca="1"/>
        <v>#VALUE!</v>
      </c>
      <c r="BB71" s="1" t="e">
        <f ca="1"/>
        <v>#VALUE!</v>
      </c>
      <c r="BC71" s="1" t="e">
        <f ca="1"/>
        <v>#VALUE!</v>
      </c>
      <c r="BD71" s="1" t="e">
        <f ca="1"/>
        <v>#VALUE!</v>
      </c>
      <c r="BE71" s="1" t="e">
        <f ca="1"/>
        <v>#VALUE!</v>
      </c>
      <c r="BF71" s="1" t="e">
        <f ca="1"/>
        <v>#VALUE!</v>
      </c>
      <c r="BG71" s="1" t="e">
        <f ca="1"/>
        <v>#VALUE!</v>
      </c>
      <c r="BH71" s="1" t="e">
        <f ca="1"/>
        <v>#VALUE!</v>
      </c>
      <c r="BI71" s="1" t="e">
        <f ca="1"/>
        <v>#VALUE!</v>
      </c>
      <c r="BJ71" s="1" t="e">
        <f ca="1"/>
        <v>#VALUE!</v>
      </c>
      <c r="BK71" s="1" t="e">
        <f ca="1"/>
        <v>#VALUE!</v>
      </c>
      <c r="BL71" s="1" t="e">
        <f ca="1"/>
        <v>#VALUE!</v>
      </c>
      <c r="BM71" s="1" t="e">
        <f ca="1"/>
        <v>#VALUE!</v>
      </c>
      <c r="BN71" s="1" t="e">
        <f ca="1"/>
        <v>#VALUE!</v>
      </c>
      <c r="BO71" s="1" t="e">
        <f ca="1"/>
        <v>#VALUE!</v>
      </c>
      <c r="BP71" s="1"/>
    </row>
    <row r="72" spans="1:68">
      <c r="A72" t="s">
        <v>100</v>
      </c>
      <c r="B72" t="e">
        <f t="array" aca="1" ref="B72:BO72" ca="1">TRANSPOSE(_xll.qlOvernightIndexedCouponDt(B22))</f>
        <v>#VALUE!</v>
      </c>
      <c r="C72" t="e">
        <f ca="1"/>
        <v>#VALUE!</v>
      </c>
      <c r="D72" t="e">
        <f ca="1"/>
        <v>#VALUE!</v>
      </c>
      <c r="E72" t="e">
        <f ca="1"/>
        <v>#VALUE!</v>
      </c>
      <c r="F72" t="e">
        <f ca="1"/>
        <v>#VALUE!</v>
      </c>
      <c r="G72" t="e">
        <f ca="1"/>
        <v>#VALUE!</v>
      </c>
      <c r="H72" t="e">
        <f ca="1"/>
        <v>#VALUE!</v>
      </c>
      <c r="I72" t="e">
        <f ca="1"/>
        <v>#VALUE!</v>
      </c>
      <c r="J72" t="e">
        <f ca="1"/>
        <v>#VALUE!</v>
      </c>
      <c r="K72" t="e">
        <f ca="1"/>
        <v>#VALUE!</v>
      </c>
      <c r="L72" t="e">
        <f ca="1"/>
        <v>#VALUE!</v>
      </c>
      <c r="M72" t="e">
        <f ca="1"/>
        <v>#VALUE!</v>
      </c>
      <c r="N72" t="e">
        <f ca="1"/>
        <v>#VALUE!</v>
      </c>
      <c r="O72" t="e">
        <f ca="1"/>
        <v>#VALUE!</v>
      </c>
      <c r="P72" t="e">
        <f ca="1"/>
        <v>#VALUE!</v>
      </c>
      <c r="Q72" t="e">
        <f ca="1"/>
        <v>#VALUE!</v>
      </c>
      <c r="R72" t="e">
        <f ca="1"/>
        <v>#VALUE!</v>
      </c>
      <c r="S72" t="e">
        <f ca="1"/>
        <v>#VALUE!</v>
      </c>
      <c r="T72" t="e">
        <f ca="1"/>
        <v>#VALUE!</v>
      </c>
      <c r="U72" t="e">
        <f ca="1"/>
        <v>#VALUE!</v>
      </c>
      <c r="V72" t="e">
        <f ca="1"/>
        <v>#VALUE!</v>
      </c>
      <c r="W72" t="e">
        <f ca="1"/>
        <v>#VALUE!</v>
      </c>
      <c r="X72" t="e">
        <f ca="1"/>
        <v>#VALUE!</v>
      </c>
      <c r="Y72" t="e">
        <f ca="1"/>
        <v>#VALUE!</v>
      </c>
      <c r="Z72" t="e">
        <f ca="1"/>
        <v>#VALUE!</v>
      </c>
      <c r="AA72" t="e">
        <f ca="1"/>
        <v>#VALUE!</v>
      </c>
      <c r="AB72" t="e">
        <f ca="1"/>
        <v>#VALUE!</v>
      </c>
      <c r="AC72" t="e">
        <f ca="1"/>
        <v>#VALUE!</v>
      </c>
      <c r="AD72" t="e">
        <f ca="1"/>
        <v>#VALUE!</v>
      </c>
      <c r="AE72" t="e">
        <f ca="1"/>
        <v>#VALUE!</v>
      </c>
      <c r="AF72" t="e">
        <f ca="1"/>
        <v>#VALUE!</v>
      </c>
      <c r="AG72" t="e">
        <f ca="1"/>
        <v>#VALUE!</v>
      </c>
      <c r="AH72" t="e">
        <f ca="1"/>
        <v>#VALUE!</v>
      </c>
      <c r="AI72" t="e">
        <f ca="1"/>
        <v>#VALUE!</v>
      </c>
      <c r="AJ72" t="e">
        <f ca="1"/>
        <v>#VALUE!</v>
      </c>
      <c r="AK72" t="e">
        <f ca="1"/>
        <v>#VALUE!</v>
      </c>
      <c r="AL72" t="e">
        <f ca="1"/>
        <v>#VALUE!</v>
      </c>
      <c r="AM72" t="e">
        <f ca="1"/>
        <v>#VALUE!</v>
      </c>
      <c r="AN72" t="e">
        <f ca="1"/>
        <v>#VALUE!</v>
      </c>
      <c r="AO72" t="e">
        <f ca="1"/>
        <v>#VALUE!</v>
      </c>
      <c r="AP72" t="e">
        <f ca="1"/>
        <v>#VALUE!</v>
      </c>
      <c r="AQ72" t="e">
        <f ca="1"/>
        <v>#VALUE!</v>
      </c>
      <c r="AR72" t="e">
        <f ca="1"/>
        <v>#VALUE!</v>
      </c>
      <c r="AS72" t="e">
        <f ca="1"/>
        <v>#VALUE!</v>
      </c>
      <c r="AT72" t="e">
        <f ca="1"/>
        <v>#VALUE!</v>
      </c>
      <c r="AU72" t="e">
        <f ca="1"/>
        <v>#VALUE!</v>
      </c>
      <c r="AV72" t="e">
        <f ca="1"/>
        <v>#VALUE!</v>
      </c>
      <c r="AW72" t="e">
        <f ca="1"/>
        <v>#VALUE!</v>
      </c>
      <c r="AX72" t="e">
        <f ca="1"/>
        <v>#VALUE!</v>
      </c>
      <c r="AY72" t="e">
        <f ca="1"/>
        <v>#VALUE!</v>
      </c>
      <c r="AZ72" t="e">
        <f ca="1"/>
        <v>#VALUE!</v>
      </c>
      <c r="BA72" t="e">
        <f ca="1"/>
        <v>#VALUE!</v>
      </c>
      <c r="BB72" t="e">
        <f ca="1"/>
        <v>#VALUE!</v>
      </c>
      <c r="BC72" t="e">
        <f ca="1"/>
        <v>#VALUE!</v>
      </c>
      <c r="BD72" t="e">
        <f ca="1"/>
        <v>#VALUE!</v>
      </c>
      <c r="BE72" t="e">
        <f ca="1"/>
        <v>#VALUE!</v>
      </c>
      <c r="BF72" t="e">
        <f ca="1"/>
        <v>#VALUE!</v>
      </c>
      <c r="BG72" t="e">
        <f ca="1"/>
        <v>#VALUE!</v>
      </c>
      <c r="BH72" t="e">
        <f ca="1"/>
        <v>#VALUE!</v>
      </c>
      <c r="BI72" t="e">
        <f ca="1"/>
        <v>#VALUE!</v>
      </c>
      <c r="BJ72" t="e">
        <f ca="1"/>
        <v>#VALUE!</v>
      </c>
      <c r="BK72" t="e">
        <f ca="1"/>
        <v>#VALUE!</v>
      </c>
      <c r="BL72" t="e">
        <f ca="1"/>
        <v>#VALUE!</v>
      </c>
      <c r="BM72" t="e">
        <f ca="1"/>
        <v>#VALUE!</v>
      </c>
      <c r="BN72" t="e">
        <f ca="1"/>
        <v>#VALUE!</v>
      </c>
      <c r="BO72" t="e">
        <f ca="1"/>
        <v>#VALUE!</v>
      </c>
    </row>
    <row r="73" spans="1:68">
      <c r="A73" t="s">
        <v>101</v>
      </c>
      <c r="B73" t="e">
        <f t="array" aca="1" ref="B73:BO73" ca="1">TRANSPOSE(_xll.qlOvernightIndexedCouponIndexFixings(B22))</f>
        <v>#VALUE!</v>
      </c>
      <c r="C73" t="e">
        <f ca="1"/>
        <v>#VALUE!</v>
      </c>
      <c r="D73" t="e">
        <f ca="1"/>
        <v>#VALUE!</v>
      </c>
      <c r="E73" t="e">
        <f ca="1"/>
        <v>#VALUE!</v>
      </c>
      <c r="F73" t="e">
        <f ca="1"/>
        <v>#VALUE!</v>
      </c>
      <c r="G73" t="e">
        <f ca="1"/>
        <v>#VALUE!</v>
      </c>
      <c r="H73" t="e">
        <f ca="1"/>
        <v>#VALUE!</v>
      </c>
      <c r="I73" t="e">
        <f ca="1"/>
        <v>#VALUE!</v>
      </c>
      <c r="J73" t="e">
        <f ca="1"/>
        <v>#VALUE!</v>
      </c>
      <c r="K73" t="e">
        <f ca="1"/>
        <v>#VALUE!</v>
      </c>
      <c r="L73" t="e">
        <f ca="1"/>
        <v>#VALUE!</v>
      </c>
      <c r="M73" t="e">
        <f ca="1"/>
        <v>#VALUE!</v>
      </c>
      <c r="N73" t="e">
        <f ca="1"/>
        <v>#VALUE!</v>
      </c>
      <c r="O73" t="e">
        <f ca="1"/>
        <v>#VALUE!</v>
      </c>
      <c r="P73" t="e">
        <f ca="1"/>
        <v>#VALUE!</v>
      </c>
      <c r="Q73" t="e">
        <f ca="1"/>
        <v>#VALUE!</v>
      </c>
      <c r="R73" t="e">
        <f ca="1"/>
        <v>#VALUE!</v>
      </c>
      <c r="S73" t="e">
        <f ca="1"/>
        <v>#VALUE!</v>
      </c>
      <c r="T73" t="e">
        <f ca="1"/>
        <v>#VALUE!</v>
      </c>
      <c r="U73" t="e">
        <f ca="1"/>
        <v>#VALUE!</v>
      </c>
      <c r="V73" t="e">
        <f ca="1"/>
        <v>#VALUE!</v>
      </c>
      <c r="W73" t="e">
        <f ca="1"/>
        <v>#VALUE!</v>
      </c>
      <c r="X73" t="e">
        <f ca="1"/>
        <v>#VALUE!</v>
      </c>
      <c r="Y73" t="e">
        <f ca="1"/>
        <v>#VALUE!</v>
      </c>
      <c r="Z73" t="e">
        <f ca="1"/>
        <v>#VALUE!</v>
      </c>
      <c r="AA73" t="e">
        <f ca="1"/>
        <v>#VALUE!</v>
      </c>
      <c r="AB73" t="e">
        <f ca="1"/>
        <v>#VALUE!</v>
      </c>
      <c r="AC73" t="e">
        <f ca="1"/>
        <v>#VALUE!</v>
      </c>
      <c r="AD73" t="e">
        <f ca="1"/>
        <v>#VALUE!</v>
      </c>
      <c r="AE73" t="e">
        <f ca="1"/>
        <v>#VALUE!</v>
      </c>
      <c r="AF73" t="e">
        <f ca="1"/>
        <v>#VALUE!</v>
      </c>
      <c r="AG73" t="e">
        <f ca="1"/>
        <v>#VALUE!</v>
      </c>
      <c r="AH73" t="e">
        <f ca="1"/>
        <v>#VALUE!</v>
      </c>
      <c r="AI73" t="e">
        <f ca="1"/>
        <v>#VALUE!</v>
      </c>
      <c r="AJ73" t="e">
        <f ca="1"/>
        <v>#VALUE!</v>
      </c>
      <c r="AK73" t="e">
        <f ca="1"/>
        <v>#VALUE!</v>
      </c>
      <c r="AL73" t="e">
        <f ca="1"/>
        <v>#VALUE!</v>
      </c>
      <c r="AM73" t="e">
        <f ca="1"/>
        <v>#VALUE!</v>
      </c>
      <c r="AN73" t="e">
        <f ca="1"/>
        <v>#VALUE!</v>
      </c>
      <c r="AO73" t="e">
        <f ca="1"/>
        <v>#VALUE!</v>
      </c>
      <c r="AP73" t="e">
        <f ca="1"/>
        <v>#VALUE!</v>
      </c>
      <c r="AQ73" t="e">
        <f ca="1"/>
        <v>#VALUE!</v>
      </c>
      <c r="AR73" t="e">
        <f ca="1"/>
        <v>#VALUE!</v>
      </c>
      <c r="AS73" t="e">
        <f ca="1"/>
        <v>#VALUE!</v>
      </c>
      <c r="AT73" t="e">
        <f ca="1"/>
        <v>#VALUE!</v>
      </c>
      <c r="AU73" t="e">
        <f ca="1"/>
        <v>#VALUE!</v>
      </c>
      <c r="AV73" t="e">
        <f ca="1"/>
        <v>#VALUE!</v>
      </c>
      <c r="AW73" t="e">
        <f ca="1"/>
        <v>#VALUE!</v>
      </c>
      <c r="AX73" t="e">
        <f ca="1"/>
        <v>#VALUE!</v>
      </c>
      <c r="AY73" t="e">
        <f ca="1"/>
        <v>#VALUE!</v>
      </c>
      <c r="AZ73" t="e">
        <f ca="1"/>
        <v>#VALUE!</v>
      </c>
      <c r="BA73" t="e">
        <f ca="1"/>
        <v>#VALUE!</v>
      </c>
      <c r="BB73" t="e">
        <f ca="1"/>
        <v>#VALUE!</v>
      </c>
      <c r="BC73" t="e">
        <f ca="1"/>
        <v>#VALUE!</v>
      </c>
      <c r="BD73" t="e">
        <f ca="1"/>
        <v>#VALUE!</v>
      </c>
      <c r="BE73" t="e">
        <f ca="1"/>
        <v>#VALUE!</v>
      </c>
      <c r="BF73" t="e">
        <f ca="1"/>
        <v>#VALUE!</v>
      </c>
      <c r="BG73" t="e">
        <f ca="1"/>
        <v>#VALUE!</v>
      </c>
      <c r="BH73" t="e">
        <f ca="1"/>
        <v>#VALUE!</v>
      </c>
      <c r="BI73" t="e">
        <f ca="1"/>
        <v>#VALUE!</v>
      </c>
      <c r="BJ73" t="e">
        <f ca="1"/>
        <v>#VALUE!</v>
      </c>
      <c r="BK73" t="e">
        <f ca="1"/>
        <v>#VALUE!</v>
      </c>
      <c r="BL73" t="e">
        <f ca="1"/>
        <v>#VALUE!</v>
      </c>
      <c r="BM73" t="e">
        <f ca="1"/>
        <v>#VALUE!</v>
      </c>
      <c r="BN73" t="e">
        <f ca="1"/>
        <v>#VALUE!</v>
      </c>
      <c r="BO73" t="e">
        <f ca="1"/>
        <v>#VALUE!</v>
      </c>
    </row>
    <row r="74" spans="1:68">
      <c r="A74" t="s">
        <v>102</v>
      </c>
      <c r="B74" t="e">
        <f t="array" aca="1" ref="B74" ca="1">_xll.qlOvernightIndexedCouponEffectiveIndexFixing(B22)</f>
        <v>#VALUE!</v>
      </c>
    </row>
    <row r="75" spans="1:68">
      <c r="A75" t="s">
        <v>103</v>
      </c>
      <c r="B75" t="e">
        <f t="array" aca="1" ref="B75" ca="1">_xll.qlOvernightIndexedCouponEffectiveSpread(B22)</f>
        <v>#VALUE!</v>
      </c>
    </row>
    <row r="77" spans="1:68">
      <c r="A77" t="s">
        <v>104</v>
      </c>
      <c r="B77" t="e">
        <f t="array" aca="1" ref="B77" ca="1">_xll.qlCappedFlooredOvernightIndexedCouponUnderlying(B26)</f>
        <v>#VALUE!</v>
      </c>
    </row>
    <row r="78" spans="1:68">
      <c r="A78" t="s">
        <v>105</v>
      </c>
      <c r="B78" t="e">
        <f t="array" aca="1" ref="B78" ca="1">_xll.qlCappedFlooredOvernightIndexedCouponNakedOption(B26)</f>
        <v>#VALUE!</v>
      </c>
    </row>
    <row r="79" spans="1:68">
      <c r="A79" t="s">
        <v>106</v>
      </c>
      <c r="B79" t="e">
        <f t="array" aca="1" ref="B79" ca="1">_xll.qlCappedFlooredOvernightIndexedCouponDailyCapFloor(B26)</f>
        <v>#VALUE!</v>
      </c>
    </row>
    <row r="80" spans="1:68">
      <c r="A80" t="s">
        <v>107</v>
      </c>
      <c r="B80" t="e">
        <f t="array" aca="1" ref="B80" ca="1">_xll.qlCappedFlooredOvernightIndexedCouponAveragingMethod(B26)</f>
        <v>#VALUE!</v>
      </c>
    </row>
    <row r="81" spans="1:2">
      <c r="A81" t="s">
        <v>108</v>
      </c>
      <c r="B81" t="e">
        <f t="array" aca="1" ref="B81" ca="1">_xll.qlCappedFlooredOvernightIndexedCouponCompoundSpreadDaily(B26)</f>
        <v>#VALUE!</v>
      </c>
    </row>
    <row r="82" spans="1:2">
      <c r="A82" t="s">
        <v>109</v>
      </c>
      <c r="B82" t="e">
        <f t="array" aca="1" ref="B82" ca="1">FIND("RuntimeError: RuntimeError: coupon pricer not an instance of OvernightIndexedCouponPricer", _xll.qlCappedFlooredOvernightIndexedCouponEffectiveCapletVolatility(B26))</f>
        <v>#VALUE!</v>
      </c>
    </row>
    <row r="83" spans="1:2">
      <c r="A83" t="s">
        <v>110</v>
      </c>
      <c r="B83" t="e">
        <f t="array" aca="1" ref="B83" ca="1">FIND("RuntimeError: RuntimeError: coupon pricer not an instance of OvernightIndexedCouponPricer",_xll.qlCappedFlooredOvernightIndexedCouponEffectiveFloorletVolatility(B26))</f>
        <v>#VALUE!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50399-A1BE-49BB-B0E5-3B8BD9C2C423}">
  <dimension ref="A1:I33"/>
  <sheetViews>
    <sheetView workbookViewId="0">
      <selection activeCell="A10" sqref="A10"/>
    </sheetView>
  </sheetViews>
  <sheetFormatPr baseColWidth="10" defaultColWidth="9" defaultRowHeight="14.25"/>
  <cols>
    <col min="1" max="1" width="33" customWidth="1"/>
    <col min="2" max="2" width="39.25" customWidth="1"/>
    <col min="6" max="6" width="13.75" bestFit="1" customWidth="1"/>
    <col min="7" max="7" width="15.875" customWidth="1"/>
  </cols>
  <sheetData>
    <row r="1" spans="1:9">
      <c r="A1" t="s">
        <v>19</v>
      </c>
      <c r="B1" s="1" t="e">
        <f ca="1">EvaluationDate!B2</f>
        <v>#VALUE!</v>
      </c>
    </row>
    <row r="3" spans="1:9">
      <c r="A3" t="s">
        <v>2</v>
      </c>
      <c r="B3" t="e">
        <f ca="1">_xll.qlFlatForward(B1,0.03,"actual365fixed","Continuous")</f>
        <v>#VALUE!</v>
      </c>
      <c r="F3" t="s">
        <v>44</v>
      </c>
      <c r="G3" t="s">
        <v>45</v>
      </c>
    </row>
    <row r="4" spans="1:9">
      <c r="A4" t="s">
        <v>3</v>
      </c>
      <c r="B4" t="e">
        <f ca="1">_xll.qlFlatForward(B1,0.02,"actual365fixed","Continuous")</f>
        <v>#VALUE!</v>
      </c>
      <c r="F4" s="1" t="e">
        <f t="array" aca="1" ref="F4:F12" ca="1">_xll.qlScheduleDates(B18)</f>
        <v>#VALUE!</v>
      </c>
    </row>
    <row r="5" spans="1:9">
      <c r="F5" s="1" t="e">
        <f ca="1"/>
        <v>#VALUE!</v>
      </c>
      <c r="G5">
        <v>100</v>
      </c>
      <c r="I5">
        <v>0.03</v>
      </c>
    </row>
    <row r="6" spans="1:9">
      <c r="A6" t="s">
        <v>4</v>
      </c>
      <c r="B6" t="e">
        <f t="array" aca="1" ref="B6" ca="1">_xll.qlEonia(B3)</f>
        <v>#VALUE!</v>
      </c>
      <c r="F6" s="1" t="e">
        <f ca="1"/>
        <v>#VALUE!</v>
      </c>
      <c r="G6">
        <f t="shared" ref="G6:G12" si="0">G5+1</f>
        <v>101</v>
      </c>
      <c r="I6">
        <v>0.02</v>
      </c>
    </row>
    <row r="7" spans="1:9">
      <c r="A7" t="s">
        <v>5</v>
      </c>
      <c r="B7" t="e">
        <f t="array" aca="1" ref="B7" ca="1">_xll.qlEuribor("3m",B3)</f>
        <v>#VALUE!</v>
      </c>
      <c r="F7" s="1" t="e">
        <f ca="1"/>
        <v>#VALUE!</v>
      </c>
      <c r="G7">
        <f t="shared" si="0"/>
        <v>102</v>
      </c>
    </row>
    <row r="8" spans="1:9">
      <c r="A8" t="s">
        <v>50</v>
      </c>
      <c r="B8" t="e">
        <f t="array" aca="1" ref="B8" ca="1">_xll.qlEuriborSwapIsdaFixA("10y",B3)</f>
        <v>#VALUE!</v>
      </c>
      <c r="F8" s="1" t="e">
        <f ca="1"/>
        <v>#VALUE!</v>
      </c>
      <c r="G8">
        <f t="shared" si="0"/>
        <v>103</v>
      </c>
    </row>
    <row r="9" spans="1:9">
      <c r="A9" t="s">
        <v>51</v>
      </c>
      <c r="B9" t="e">
        <f t="array" aca="1" ref="B9" ca="1">_xll.qlEuriborSwapIsdaFixA("2y",B3)</f>
        <v>#VALUE!</v>
      </c>
      <c r="F9" s="1" t="e">
        <f ca="1"/>
        <v>#VALUE!</v>
      </c>
      <c r="G9">
        <f t="shared" si="0"/>
        <v>104</v>
      </c>
    </row>
    <row r="10" spans="1:9">
      <c r="A10" t="s">
        <v>52</v>
      </c>
      <c r="B10" t="e">
        <f t="array" aca="1" ref="B10" ca="1">_xll.qlSwapSpreadIndex("TenMinusTwo",B8,B9)</f>
        <v>#VALUE!</v>
      </c>
      <c r="F10" s="1" t="e">
        <f ca="1"/>
        <v>#VALUE!</v>
      </c>
      <c r="G10">
        <f t="shared" si="0"/>
        <v>105</v>
      </c>
    </row>
    <row r="11" spans="1:9">
      <c r="F11" s="1" t="e">
        <f ca="1"/>
        <v>#VALUE!</v>
      </c>
      <c r="G11">
        <f t="shared" si="0"/>
        <v>106</v>
      </c>
    </row>
    <row r="12" spans="1:9">
      <c r="A12" t="s">
        <v>37</v>
      </c>
      <c r="B12" t="s">
        <v>40</v>
      </c>
      <c r="F12" s="1" t="e">
        <f ca="1"/>
        <v>#VALUE!</v>
      </c>
      <c r="G12">
        <f t="shared" si="0"/>
        <v>107</v>
      </c>
    </row>
    <row r="13" spans="1:9">
      <c r="A13" t="s">
        <v>21</v>
      </c>
      <c r="B13" s="1" t="e">
        <f t="array" aca="1" ref="B13" ca="1">_xll.qlCalendarAdvance(B12,B1,"3m","following")</f>
        <v>#VALUE!</v>
      </c>
    </row>
    <row r="14" spans="1:9">
      <c r="A14" t="s">
        <v>22</v>
      </c>
      <c r="B14" s="1" t="e">
        <f t="array" aca="1" ref="B14" ca="1">_xll.qlCalendarAdvance(B12,B13,"2y","following")</f>
        <v>#VALUE!</v>
      </c>
    </row>
    <row r="15" spans="1:9">
      <c r="A15" t="s">
        <v>36</v>
      </c>
      <c r="B15" t="s">
        <v>41</v>
      </c>
    </row>
    <row r="16" spans="1:9">
      <c r="A16" t="s">
        <v>38</v>
      </c>
      <c r="B16" t="s">
        <v>42</v>
      </c>
    </row>
    <row r="17" spans="1:9">
      <c r="A17" t="s">
        <v>39</v>
      </c>
      <c r="B17" t="s">
        <v>26</v>
      </c>
    </row>
    <row r="18" spans="1:9">
      <c r="A18" t="s">
        <v>43</v>
      </c>
      <c r="B18" t="e">
        <f t="array" aca="1" ref="B18" ca="1">_xll.qlMakeSchedule(B13,B14,B15,,B12,B16)</f>
        <v>#VALUE!</v>
      </c>
    </row>
    <row r="20" spans="1:9">
      <c r="A20" t="s">
        <v>46</v>
      </c>
      <c r="B20" s="5" t="e">
        <f t="array" aca="1" ref="B20:I20" ca="1">TRANSPOSE(_xll.qlFixedRateLeg(B18,B17,G5:G12,I5:I6))</f>
        <v>#VALUE!</v>
      </c>
      <c r="C20" s="5" t="e">
        <f ca="1"/>
        <v>#VALUE!</v>
      </c>
      <c r="D20" s="5" t="e">
        <f ca="1"/>
        <v>#VALUE!</v>
      </c>
      <c r="E20" s="5" t="e">
        <f ca="1"/>
        <v>#VALUE!</v>
      </c>
      <c r="F20" s="5" t="e">
        <f ca="1"/>
        <v>#VALUE!</v>
      </c>
      <c r="G20" s="5" t="e">
        <f ca="1"/>
        <v>#VALUE!</v>
      </c>
      <c r="H20" s="5" t="e">
        <f ca="1"/>
        <v>#VALUE!</v>
      </c>
      <c r="I20" s="5" t="e">
        <f ca="1"/>
        <v>#VALUE!</v>
      </c>
    </row>
    <row r="21" spans="1:9">
      <c r="A21" t="s">
        <v>47</v>
      </c>
      <c r="B21" s="5" t="e">
        <f t="array" aca="1" ref="B21:I21" ca="1">TRANSPOSE(_xll.qlIborLeg(G5,B18,B7,,,4))</f>
        <v>#VALUE!</v>
      </c>
      <c r="C21" s="5" t="e">
        <f ca="1"/>
        <v>#VALUE!</v>
      </c>
      <c r="D21" s="5" t="e">
        <f ca="1"/>
        <v>#VALUE!</v>
      </c>
      <c r="E21" s="5" t="e">
        <f ca="1"/>
        <v>#VALUE!</v>
      </c>
      <c r="F21" s="5" t="e">
        <f ca="1"/>
        <v>#VALUE!</v>
      </c>
      <c r="G21" s="5" t="e">
        <f ca="1"/>
        <v>#VALUE!</v>
      </c>
      <c r="H21" s="5" t="e">
        <f ca="1"/>
        <v>#VALUE!</v>
      </c>
      <c r="I21" s="5" t="e">
        <f ca="1"/>
        <v>#VALUE!</v>
      </c>
    </row>
    <row r="22" spans="1:9">
      <c r="A22" t="s">
        <v>48</v>
      </c>
      <c r="B22" s="5" t="e">
        <f t="array" aca="1" ref="B22:I22" ca="1">TRANSPOSE(_xll.qlOvernightLeg(G5,B18,B6))</f>
        <v>#VALUE!</v>
      </c>
      <c r="C22" s="5" t="e">
        <f ca="1"/>
        <v>#VALUE!</v>
      </c>
      <c r="D22" s="5" t="e">
        <f ca="1"/>
        <v>#VALUE!</v>
      </c>
      <c r="E22" s="5" t="e">
        <f ca="1"/>
        <v>#VALUE!</v>
      </c>
      <c r="F22" s="5" t="e">
        <f ca="1"/>
        <v>#VALUE!</v>
      </c>
      <c r="G22" s="5" t="e">
        <f ca="1"/>
        <v>#VALUE!</v>
      </c>
      <c r="H22" s="5" t="e">
        <f ca="1"/>
        <v>#VALUE!</v>
      </c>
      <c r="I22" s="5" t="e">
        <f ca="1"/>
        <v>#VALUE!</v>
      </c>
    </row>
    <row r="23" spans="1:9">
      <c r="A23" t="s">
        <v>49</v>
      </c>
      <c r="B23" s="5" t="e">
        <f t="array" aca="1" ref="B23:I23" ca="1">TRANSPOSE(_xll.qlCmsLeg(G5,B18,B8))</f>
        <v>#VALUE!</v>
      </c>
      <c r="C23" s="5" t="e">
        <f ca="1"/>
        <v>#VALUE!</v>
      </c>
      <c r="D23" s="5" t="e">
        <f ca="1"/>
        <v>#VALUE!</v>
      </c>
      <c r="E23" s="5" t="e">
        <f ca="1"/>
        <v>#VALUE!</v>
      </c>
      <c r="F23" s="5" t="e">
        <f ca="1"/>
        <v>#VALUE!</v>
      </c>
      <c r="G23" s="5" t="e">
        <f ca="1"/>
        <v>#VALUE!</v>
      </c>
      <c r="H23" s="5" t="e">
        <f ca="1"/>
        <v>#VALUE!</v>
      </c>
      <c r="I23" s="5" t="e">
        <f ca="1"/>
        <v>#VALUE!</v>
      </c>
    </row>
    <row r="24" spans="1:9">
      <c r="A24" t="s">
        <v>54</v>
      </c>
      <c r="B24" s="5" t="e">
        <f t="array" aca="1" ref="B24:I24" ca="1">TRANSPOSE(_xll.qlCmsZeroLeg(G5,B18,B9))</f>
        <v>#VALUE!</v>
      </c>
      <c r="C24" s="5" t="e">
        <f ca="1"/>
        <v>#VALUE!</v>
      </c>
      <c r="D24" s="5" t="e">
        <f ca="1"/>
        <v>#VALUE!</v>
      </c>
      <c r="E24" s="5" t="e">
        <f ca="1"/>
        <v>#VALUE!</v>
      </c>
      <c r="F24" s="5" t="e">
        <f ca="1"/>
        <v>#VALUE!</v>
      </c>
      <c r="G24" s="5" t="e">
        <f ca="1"/>
        <v>#VALUE!</v>
      </c>
      <c r="H24" s="5" t="e">
        <f ca="1"/>
        <v>#VALUE!</v>
      </c>
      <c r="I24" s="5" t="e">
        <f ca="1"/>
        <v>#VALUE!</v>
      </c>
    </row>
    <row r="25" spans="1:9">
      <c r="A25" t="s">
        <v>53</v>
      </c>
      <c r="B25" s="5" t="e">
        <f t="array" aca="1" ref="B25:I25" ca="1">TRANSPOSE(_xll.qlCmsSpreadLeg(G5:G7,B18,B10))</f>
        <v>#VALUE!</v>
      </c>
      <c r="C25" s="5" t="e">
        <f ca="1"/>
        <v>#VALUE!</v>
      </c>
      <c r="D25" s="5" t="e">
        <f ca="1"/>
        <v>#VALUE!</v>
      </c>
      <c r="E25" s="5" t="e">
        <f ca="1"/>
        <v>#VALUE!</v>
      </c>
      <c r="F25" s="5" t="e">
        <f ca="1"/>
        <v>#VALUE!</v>
      </c>
      <c r="G25" s="5" t="e">
        <f ca="1"/>
        <v>#VALUE!</v>
      </c>
      <c r="H25" s="5" t="e">
        <f ca="1"/>
        <v>#VALUE!</v>
      </c>
      <c r="I25" s="5" t="e">
        <f ca="1"/>
        <v>#VALUE!</v>
      </c>
    </row>
    <row r="26" spans="1:9">
      <c r="A26" t="s">
        <v>55</v>
      </c>
      <c r="B26" s="5" t="e">
        <f t="array" aca="1" ref="B26:E26" ca="1">TRANSPOSE(_xll.qlMultipleResetsLeg(B18,B7,2,G5))</f>
        <v>#VALUE!</v>
      </c>
      <c r="C26" s="5" t="e">
        <f ca="1"/>
        <v>#VALUE!</v>
      </c>
      <c r="D26" s="5" t="e">
        <f ca="1"/>
        <v>#VALUE!</v>
      </c>
      <c r="E26" s="5" t="e">
        <f ca="1"/>
        <v>#VALUE!</v>
      </c>
      <c r="F26" s="5"/>
      <c r="G26" s="5"/>
      <c r="H26" s="5"/>
      <c r="I26" s="5"/>
    </row>
    <row r="28" spans="1:9">
      <c r="A28" t="s">
        <v>56</v>
      </c>
      <c r="B28" t="e">
        <f t="array" aca="1" ref="B28" ca="1">_xll.qlCashFlowsNpv(B20,B4,TRUE)</f>
        <v>#VALUE!</v>
      </c>
    </row>
    <row r="29" spans="1:9">
      <c r="A29" t="s">
        <v>57</v>
      </c>
      <c r="B29" t="e">
        <f t="array" aca="1" ref="B29" ca="1">_xll.qlCashFlowsBps(B20,B4,TRUE)</f>
        <v>#VALUE!</v>
      </c>
    </row>
    <row r="30" spans="1:9">
      <c r="A30" t="s">
        <v>58</v>
      </c>
      <c r="B30" t="e">
        <f t="array" aca="1" ref="B30" ca="1">_xll.qlCashFlowsNpv(_xlfn.ANCHORARRAY(B20),B4,TRUE)</f>
        <v>#VALUE!</v>
      </c>
    </row>
    <row r="31" spans="1:9">
      <c r="A31" t="s">
        <v>59</v>
      </c>
      <c r="B31" t="e">
        <f t="array" aca="1" ref="B31" ca="1">_xll.qlCashFlowsBps(_xlfn.ANCHORARRAY(B20),B4,TRUE)</f>
        <v>#VALUE!</v>
      </c>
    </row>
    <row r="32" spans="1:9">
      <c r="A32" t="s">
        <v>60</v>
      </c>
      <c r="B32" t="e">
        <f t="array" aca="1" ref="B32:B33" ca="1">_xll.qlCashFlowsNpvBps(_xlfn.ANCHORARRAY(B20),B4,TRUE)</f>
        <v>#VALUE!</v>
      </c>
    </row>
    <row r="33" spans="2:2">
      <c r="B33" t="e">
        <f ca="1"/>
        <v>#VALUE!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07CC9-AEF0-4A4C-9951-6D8BCB14E3D2}">
  <dimension ref="A1:C42"/>
  <sheetViews>
    <sheetView workbookViewId="0">
      <pane xSplit="1" ySplit="3" topLeftCell="B19" activePane="bottomRight" state="frozen"/>
      <selection pane="topRight" activeCell="B1" sqref="B1"/>
      <selection pane="bottomLeft" activeCell="A4" sqref="A4"/>
      <selection pane="bottomRight" activeCell="B1" sqref="B1"/>
    </sheetView>
  </sheetViews>
  <sheetFormatPr baseColWidth="10" defaultRowHeight="14.25"/>
  <cols>
    <col min="1" max="1" width="40.125" bestFit="1" customWidth="1"/>
    <col min="2" max="2" width="58.75" style="8" bestFit="1" customWidth="1"/>
    <col min="3" max="3" width="58.62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 t="e">
        <f ca="1">_xll.qlSettingsSetEvaluationDate(B1)</f>
        <v>#VALUE!</v>
      </c>
    </row>
    <row r="4" spans="1:3">
      <c r="A4" s="15" t="s">
        <v>111</v>
      </c>
      <c r="B4" s="16">
        <v>45659</v>
      </c>
      <c r="C4" s="17">
        <v>45659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45475</v>
      </c>
      <c r="C6" s="22">
        <v>45475</v>
      </c>
    </row>
    <row r="7" spans="1:3">
      <c r="A7" s="18" t="s">
        <v>113</v>
      </c>
      <c r="B7" s="21">
        <v>45659</v>
      </c>
      <c r="C7" s="22">
        <v>45659</v>
      </c>
    </row>
    <row r="8" spans="1:3">
      <c r="A8" s="18" t="s">
        <v>114</v>
      </c>
      <c r="B8" s="19">
        <v>2</v>
      </c>
      <c r="C8" s="20">
        <v>2</v>
      </c>
    </row>
    <row r="9" spans="1:3">
      <c r="A9" s="9" t="s">
        <v>124</v>
      </c>
      <c r="B9" s="10" t="e">
        <f ca="1">_xll.qlFlatForward($B$1,0.02,"actual365fixed",,,B2)</f>
        <v>#VALUE!</v>
      </c>
      <c r="C9" s="11" t="e">
        <f ca="1">_xll.qlFlatForward($B$1,0.02,"actual365fixed",,,C2)</f>
        <v>#VALUE!</v>
      </c>
    </row>
    <row r="10" spans="1:3">
      <c r="A10" s="12" t="s">
        <v>115</v>
      </c>
      <c r="B10" s="13" t="e">
        <f ca="1">_xll.qlEuribor("6M",B9,B9)</f>
        <v>#VALUE!</v>
      </c>
      <c r="C10" s="14" t="e">
        <f ca="1">_xll.qlEuribor("6M",C9,C9)</f>
        <v>#VALUE!</v>
      </c>
    </row>
    <row r="11" spans="1:3">
      <c r="A11" s="18" t="s">
        <v>116</v>
      </c>
      <c r="B11" s="19"/>
      <c r="C11" s="20">
        <v>1</v>
      </c>
    </row>
    <row r="12" spans="1:3">
      <c r="A12" s="18" t="s">
        <v>117</v>
      </c>
      <c r="B12" s="19"/>
      <c r="C12" s="20">
        <v>1E-3</v>
      </c>
    </row>
    <row r="13" spans="1:3">
      <c r="A13" s="18" t="s">
        <v>118</v>
      </c>
      <c r="B13" s="19"/>
      <c r="C13" s="22">
        <v>45475</v>
      </c>
    </row>
    <row r="14" spans="1:3">
      <c r="A14" s="18" t="s">
        <v>119</v>
      </c>
      <c r="B14" s="19"/>
      <c r="C14" s="22">
        <v>45659</v>
      </c>
    </row>
    <row r="15" spans="1:3">
      <c r="A15" s="18" t="s">
        <v>120</v>
      </c>
      <c r="B15" s="19"/>
      <c r="C15" s="20" t="s">
        <v>127</v>
      </c>
    </row>
    <row r="16" spans="1:3">
      <c r="A16" s="18" t="s">
        <v>121</v>
      </c>
      <c r="B16" s="19"/>
      <c r="C16" s="20" t="b">
        <v>0</v>
      </c>
    </row>
    <row r="17" spans="1:3">
      <c r="A17" s="18" t="s">
        <v>122</v>
      </c>
      <c r="B17" s="19"/>
      <c r="C17" s="22">
        <v>45659</v>
      </c>
    </row>
    <row r="18" spans="1:3">
      <c r="A18" s="18" t="s">
        <v>123</v>
      </c>
      <c r="B18" s="19"/>
      <c r="C18" s="20" t="s">
        <v>128</v>
      </c>
    </row>
    <row r="19" spans="1:3" ht="15">
      <c r="A19" s="23" t="s">
        <v>28</v>
      </c>
      <c r="B19" s="13" t="e">
        <f ca="1">_xll.qlIborCoupon(B4,B5,B6,B7,B8,B10,,,,,,,,,B10)</f>
        <v>#VALUE!</v>
      </c>
      <c r="C19" s="14" t="e">
        <f ca="1">_xll.qlIborCoupon(C4,C5,C6,C7,C8,C10,C11,C12,C13,C14,C15,C16,C17,C18)</f>
        <v>#VALUE!</v>
      </c>
    </row>
    <row r="20" spans="1:3" ht="15">
      <c r="A20" s="29" t="s">
        <v>61</v>
      </c>
      <c r="B20" s="19" t="e">
        <f ca="1">_xll.qlCouponNominal(B19)</f>
        <v>#VALUE!</v>
      </c>
      <c r="C20" s="20" t="e">
        <f ca="1">_xll.qlCouponNominal(C19)</f>
        <v>#VALUE!</v>
      </c>
    </row>
    <row r="21" spans="1:3" ht="15">
      <c r="A21" s="24" t="s">
        <v>62</v>
      </c>
      <c r="B21" s="25" t="e">
        <f ca="1">_xll.qlCouponAccrualStartDate(B19)</f>
        <v>#VALUE!</v>
      </c>
      <c r="C21" s="26" t="e">
        <f ca="1">_xll.qlCouponAccrualStartDate(C19)</f>
        <v>#VALUE!</v>
      </c>
    </row>
    <row r="22" spans="1:3" ht="15">
      <c r="A22" s="29" t="s">
        <v>63</v>
      </c>
      <c r="B22" s="21" t="e">
        <f ca="1">_xll.qlCouponAccrualEndDate(B19)</f>
        <v>#VALUE!</v>
      </c>
      <c r="C22" s="22" t="e">
        <f ca="1">_xll.qlCouponAccrualEndDate(C19)</f>
        <v>#VALUE!</v>
      </c>
    </row>
    <row r="23" spans="1:3" ht="15">
      <c r="A23" s="24" t="s">
        <v>64</v>
      </c>
      <c r="B23" s="25" t="e">
        <f ca="1">_xll.qlCouponReferencePeriodStart(B19)</f>
        <v>#VALUE!</v>
      </c>
      <c r="C23" s="26" t="e">
        <f ca="1">_xll.qlCouponReferencePeriodStart(C19)</f>
        <v>#VALUE!</v>
      </c>
    </row>
    <row r="24" spans="1:3" ht="15">
      <c r="A24" s="29" t="s">
        <v>65</v>
      </c>
      <c r="B24" s="21" t="e">
        <f ca="1">_xll.qlCouponReferencePeriodEnd(B19)</f>
        <v>#VALUE!</v>
      </c>
      <c r="C24" s="22" t="e">
        <f ca="1">_xll.qlCouponReferencePeriodEnd(C19)</f>
        <v>#VALUE!</v>
      </c>
    </row>
    <row r="25" spans="1:3" ht="15">
      <c r="A25" s="24" t="s">
        <v>66</v>
      </c>
      <c r="B25" s="27" t="e">
        <f ca="1">_xll.qlCouponExCouponDate(B19)</f>
        <v>#VALUE!</v>
      </c>
      <c r="C25" s="26" t="e">
        <f ca="1">_xll.qlCouponExCouponDate(C19)</f>
        <v>#VALUE!</v>
      </c>
    </row>
    <row r="26" spans="1:3" ht="15">
      <c r="A26" s="29" t="s">
        <v>67</v>
      </c>
      <c r="B26" s="19" t="e">
        <f ca="1">_xll.qlCouponRate(B19)</f>
        <v>#VALUE!</v>
      </c>
      <c r="C26" s="20" t="e">
        <f ca="1">_xll.qlCouponRate(C19)</f>
        <v>#VALUE!</v>
      </c>
    </row>
    <row r="27" spans="1:3" ht="15">
      <c r="A27" s="29" t="s">
        <v>68</v>
      </c>
      <c r="B27" s="19" t="e">
        <f ca="1">_xll.qlCouponAccrualPeriod(B19)</f>
        <v>#VALUE!</v>
      </c>
      <c r="C27" s="20" t="e">
        <f ca="1">_xll.qlCouponAccrualPeriod(C19)</f>
        <v>#VALUE!</v>
      </c>
    </row>
    <row r="28" spans="1:3" ht="15">
      <c r="A28" s="29" t="s">
        <v>69</v>
      </c>
      <c r="B28" s="19" t="e">
        <f ca="1">_xll.qlCouponAccrualDays(B19)</f>
        <v>#VALUE!</v>
      </c>
      <c r="C28" s="20" t="e">
        <f ca="1">_xll.qlCouponAccrualDays(C19)</f>
        <v>#VALUE!</v>
      </c>
    </row>
    <row r="29" spans="1:3" ht="15">
      <c r="A29" s="24" t="s">
        <v>70</v>
      </c>
      <c r="B29" s="27" t="e">
        <f ca="1">_xll.qlCouponDayCounter(B19)</f>
        <v>#VALUE!</v>
      </c>
      <c r="C29" s="28" t="e">
        <f ca="1">_xll.qlCouponDayCounter(C19)</f>
        <v>#VALUE!</v>
      </c>
    </row>
    <row r="30" spans="1:3" ht="15">
      <c r="A30" s="29" t="s">
        <v>71</v>
      </c>
      <c r="B30" s="19" t="e">
        <f ca="1">_xll.qlCouponAccruedAmount(B19,"01.10.2024")</f>
        <v>#VALUE!</v>
      </c>
      <c r="C30" s="20" t="e">
        <f ca="1">_xll.qlCouponAccruedAmount(C19,"01.10.2024")</f>
        <v>#VALUE!</v>
      </c>
    </row>
    <row r="31" spans="1:3" ht="15">
      <c r="A31" s="24" t="s">
        <v>72</v>
      </c>
      <c r="B31" s="25" t="e">
        <f ca="1">_xll.qlFloatingRateCouponFixingDate(B19)</f>
        <v>#VALUE!</v>
      </c>
      <c r="C31" s="26" t="e">
        <f ca="1">_xll.qlFloatingRateCouponFixingDate(C19)</f>
        <v>#VALUE!</v>
      </c>
    </row>
    <row r="32" spans="1:3" ht="15">
      <c r="A32" s="29" t="s">
        <v>73</v>
      </c>
      <c r="B32" s="19" t="e">
        <f ca="1">_xll.qlFloatingRateCouponFixingDays(B19)</f>
        <v>#VALUE!</v>
      </c>
      <c r="C32" s="20" t="e">
        <f ca="1">_xll.qlFloatingRateCouponFixingDays(C19)</f>
        <v>#VALUE!</v>
      </c>
    </row>
    <row r="33" spans="1:3" ht="15">
      <c r="A33" s="24" t="s">
        <v>129</v>
      </c>
      <c r="B33" s="27" t="e">
        <f ca="1">_xll.qlFloatingRateCouponFixingConvention(B19)</f>
        <v>#VALUE!</v>
      </c>
      <c r="C33" s="28" t="e">
        <f ca="1">_xll.qlFloatingRateCouponFixingConvention(C19)</f>
        <v>#VALUE!</v>
      </c>
    </row>
    <row r="34" spans="1:3" ht="15">
      <c r="A34" s="29" t="s">
        <v>74</v>
      </c>
      <c r="B34" s="19" t="e">
        <f ca="1">_xll.qlFloatingRateCouponIsInArrears(B19)</f>
        <v>#VALUE!</v>
      </c>
      <c r="C34" s="20" t="e">
        <f ca="1">_xll.qlFloatingRateCouponIsInArrears(C19)</f>
        <v>#VALUE!</v>
      </c>
    </row>
    <row r="35" spans="1:3" ht="15">
      <c r="A35" s="24" t="s">
        <v>75</v>
      </c>
      <c r="B35" s="27" t="e">
        <f ca="1">_xll.qlFloatingRateCouponGearing(B19)</f>
        <v>#VALUE!</v>
      </c>
      <c r="C35" s="28" t="e">
        <f ca="1">_xll.qlFloatingRateCouponGearing(C19)</f>
        <v>#VALUE!</v>
      </c>
    </row>
    <row r="36" spans="1:3" ht="15">
      <c r="A36" s="29" t="s">
        <v>76</v>
      </c>
      <c r="B36" s="19" t="e">
        <f ca="1">_xll.qlFloatingRateCouponSpread(B19)</f>
        <v>#VALUE!</v>
      </c>
      <c r="C36" s="20" t="e">
        <f ca="1">_xll.qlFloatingRateCouponSpread(C19)</f>
        <v>#VALUE!</v>
      </c>
    </row>
    <row r="37" spans="1:3" ht="15">
      <c r="A37" s="24" t="s">
        <v>77</v>
      </c>
      <c r="B37" s="27" t="e">
        <f ca="1">_xll.qlFloatingRateCouponIndexFixing(B19)</f>
        <v>#VALUE!</v>
      </c>
      <c r="C37" s="28" t="e">
        <f ca="1">_xll.qlFloatingRateCouponIndexFixing(C19)</f>
        <v>#VALUE!</v>
      </c>
    </row>
    <row r="38" spans="1:3" ht="15">
      <c r="A38" s="29" t="s">
        <v>78</v>
      </c>
      <c r="B38" s="19" t="e">
        <f ca="1">_xll.qlFloatingRateCouponAdjustedFixing(B19)</f>
        <v>#VALUE!</v>
      </c>
      <c r="C38" s="20" t="e">
        <f ca="1">_xll.qlFloatingRateCouponAdjustedFixing(C19)</f>
        <v>#VALUE!</v>
      </c>
    </row>
    <row r="39" spans="1:3" ht="15">
      <c r="A39" s="24" t="s">
        <v>79</v>
      </c>
      <c r="B39" s="27" t="e">
        <f ca="1">_xll.qlFloatingRateCouponConvexityAdjustment(B19)</f>
        <v>#VALUE!</v>
      </c>
      <c r="C39" s="28" t="e">
        <f ca="1">_xll.qlFloatingRateCouponConvexityAdjustment(C19)</f>
        <v>#VALUE!</v>
      </c>
    </row>
    <row r="40" spans="1:3">
      <c r="A40" s="30" t="s">
        <v>124</v>
      </c>
      <c r="B40" s="19" t="e">
        <f ca="1">_xll.qlFlatForward($B$1,0.02,"actual365fixed",,,B2)</f>
        <v>#VALUE!</v>
      </c>
      <c r="C40" s="20" t="e">
        <f ca="1">_xll.qlFlatForward($B$1,0.02,"actual365fixed",,,C2)</f>
        <v>#VALUE!</v>
      </c>
    </row>
    <row r="41" spans="1:3" ht="15">
      <c r="A41" s="29" t="s">
        <v>80</v>
      </c>
      <c r="B41" s="19" t="e">
        <f ca="1">_xll.qlFloatingRateCouponPrice(B19,B40)</f>
        <v>#VALUE!</v>
      </c>
      <c r="C41" s="20" t="e">
        <f ca="1">_xll.qlFloatingRateCouponPrice(C19,C40)</f>
        <v>#VALUE!</v>
      </c>
    </row>
    <row r="42" spans="1:3" ht="15">
      <c r="A42" s="24" t="s">
        <v>81</v>
      </c>
      <c r="B42" s="27" t="e">
        <f ca="1">_xll.qlFloatingRateCouponIndex(B19)</f>
        <v>#VALUE!</v>
      </c>
      <c r="C42" s="28" t="e">
        <f ca="1">_xll.qlFloatingRateCouponIndex(C19)</f>
        <v>#VALUE!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29259-FAC1-4E17-BD03-57F889346F6F}">
  <dimension ref="A1:C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" sqref="B1"/>
    </sheetView>
  </sheetViews>
  <sheetFormatPr baseColWidth="10" defaultRowHeight="14.25"/>
  <cols>
    <col min="1" max="1" width="40.125" bestFit="1" customWidth="1"/>
    <col min="2" max="2" width="73" style="8" bestFit="1" customWidth="1"/>
    <col min="3" max="3" width="78.12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 t="e">
        <f ca="1">_xll.qlSettingsSetEvaluationDate(B1)</f>
        <v>#VALUE!</v>
      </c>
    </row>
    <row r="4" spans="1:3">
      <c r="A4" s="15" t="s">
        <v>111</v>
      </c>
      <c r="B4" s="16">
        <v>45659</v>
      </c>
      <c r="C4" s="17">
        <v>45659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45475</v>
      </c>
      <c r="C6" s="22">
        <v>45475</v>
      </c>
    </row>
    <row r="7" spans="1:3">
      <c r="A7" s="18" t="s">
        <v>113</v>
      </c>
      <c r="B7" s="21">
        <v>45659</v>
      </c>
      <c r="C7" s="22">
        <v>45659</v>
      </c>
    </row>
    <row r="8" spans="1:3">
      <c r="A8" s="18" t="s">
        <v>114</v>
      </c>
      <c r="B8" s="19">
        <v>2</v>
      </c>
      <c r="C8" s="20">
        <v>2</v>
      </c>
    </row>
    <row r="9" spans="1:3">
      <c r="A9" s="9" t="s">
        <v>124</v>
      </c>
      <c r="B9" s="10" t="e">
        <f ca="1">_xll.qlFlatForward($B$1,0.02,"actual365fixed",,,B2)</f>
        <v>#VALUE!</v>
      </c>
      <c r="C9" s="11" t="e">
        <f ca="1">_xll.qlFlatForward($B$1,0.02,"actual365fixed",,,C2)</f>
        <v>#VALUE!</v>
      </c>
    </row>
    <row r="10" spans="1:3">
      <c r="A10" s="12" t="s">
        <v>115</v>
      </c>
      <c r="B10" s="13" t="e">
        <f ca="1">_xll.qlEuribor("6M",B9,B9)</f>
        <v>#VALUE!</v>
      </c>
      <c r="C10" s="14" t="e">
        <f ca="1">_xll.qlEuribor("6M",C9,C9)</f>
        <v>#VALUE!</v>
      </c>
    </row>
    <row r="11" spans="1:3">
      <c r="A11" s="18" t="s">
        <v>116</v>
      </c>
      <c r="B11" s="19"/>
      <c r="C11" s="20">
        <v>1</v>
      </c>
    </row>
    <row r="12" spans="1:3">
      <c r="A12" s="18" t="s">
        <v>117</v>
      </c>
      <c r="B12" s="19"/>
      <c r="C12" s="20">
        <v>1E-3</v>
      </c>
    </row>
    <row r="13" spans="1:3">
      <c r="A13" s="18" t="s">
        <v>30</v>
      </c>
      <c r="B13" s="19"/>
      <c r="C13" s="20">
        <v>0.06</v>
      </c>
    </row>
    <row r="14" spans="1:3">
      <c r="A14" s="18" t="s">
        <v>31</v>
      </c>
      <c r="B14" s="19"/>
      <c r="C14" s="20">
        <v>0.01</v>
      </c>
    </row>
    <row r="15" spans="1:3">
      <c r="A15" s="18" t="s">
        <v>118</v>
      </c>
      <c r="B15" s="19"/>
      <c r="C15" s="22">
        <v>45475</v>
      </c>
    </row>
    <row r="16" spans="1:3">
      <c r="A16" s="18" t="s">
        <v>119</v>
      </c>
      <c r="B16" s="19"/>
      <c r="C16" s="22">
        <v>45659</v>
      </c>
    </row>
    <row r="17" spans="1:3">
      <c r="A17" s="18" t="s">
        <v>120</v>
      </c>
      <c r="B17" s="19"/>
      <c r="C17" s="20" t="s">
        <v>127</v>
      </c>
    </row>
    <row r="18" spans="1:3">
      <c r="A18" s="18" t="s">
        <v>121</v>
      </c>
      <c r="B18" s="19"/>
      <c r="C18" s="20" t="b">
        <v>0</v>
      </c>
    </row>
    <row r="19" spans="1:3">
      <c r="A19" s="18" t="s">
        <v>130</v>
      </c>
      <c r="B19" s="19"/>
      <c r="C19" s="22">
        <v>45659</v>
      </c>
    </row>
    <row r="20" spans="1:3" ht="15">
      <c r="A20" s="23" t="s">
        <v>32</v>
      </c>
      <c r="B20" s="13" t="e">
        <f ca="1">_xll.qlCappedFlooredIborCoupon(B4,B5,B6,B7,B8,B10,,,,,,,,,B10)</f>
        <v>#VALUE!</v>
      </c>
      <c r="C20" s="14" t="e">
        <f ca="1">_xll.qlCappedFlooredIborCoupon(C4,C5,C6,C7,C8,C10,C11,C12,C13,C14,C15,C16,C17,C18,C19)</f>
        <v>#VALUE!</v>
      </c>
    </row>
    <row r="21" spans="1:3">
      <c r="A21" s="31" t="s">
        <v>133</v>
      </c>
      <c r="B21" s="19"/>
      <c r="C21" s="20" t="e">
        <f ca="1">_xll.qlConstantOptionletVolatility($B$1,"TARGET","ModifiedFollowing",0.2,"actual360",,,C20)</f>
        <v>#VALUE!</v>
      </c>
    </row>
    <row r="22" spans="1:3" ht="15">
      <c r="A22" s="29" t="s">
        <v>131</v>
      </c>
      <c r="B22" s="19" t="e">
        <f ca="1">_xll.qlBlackIborCouponPricer()</f>
        <v>#VALUE!</v>
      </c>
      <c r="C22" s="20" t="e">
        <f ca="1">_xll.qlBlackIborCouponPricer(C21)</f>
        <v>#VALUE!</v>
      </c>
    </row>
    <row r="23" spans="1:3" ht="15">
      <c r="A23" s="24" t="s">
        <v>132</v>
      </c>
      <c r="B23" s="27" t="e">
        <f ca="1">_xll.qlFloatingRateCouponSetPricer(B20,B22)</f>
        <v>#VALUE!</v>
      </c>
      <c r="C23" s="28" t="e">
        <f ca="1">_xll.qlFloatingRateCouponSetPricer(C20,C22)</f>
        <v>#VALUE!</v>
      </c>
    </row>
    <row r="24" spans="1:3" ht="15">
      <c r="A24" s="29" t="s">
        <v>61</v>
      </c>
      <c r="B24" s="19" t="e">
        <f ca="1">_xll.qlCouponNominal(B20,B23)</f>
        <v>#VALUE!</v>
      </c>
      <c r="C24" s="20" t="e">
        <f ca="1">_xll.qlCouponNominal(C20,C23)</f>
        <v>#VALUE!</v>
      </c>
    </row>
    <row r="25" spans="1:3" ht="15">
      <c r="A25" s="24" t="s">
        <v>62</v>
      </c>
      <c r="B25" s="25" t="e">
        <f ca="1">_xll.qlCouponAccrualStartDate(B20,B23)</f>
        <v>#VALUE!</v>
      </c>
      <c r="C25" s="26" t="e">
        <f ca="1">_xll.qlCouponAccrualStartDate(C20,C23)</f>
        <v>#VALUE!</v>
      </c>
    </row>
    <row r="26" spans="1:3" ht="15">
      <c r="A26" s="29" t="s">
        <v>63</v>
      </c>
      <c r="B26" s="21" t="e">
        <f ca="1">_xll.qlCouponAccrualEndDate(B20,B23)</f>
        <v>#VALUE!</v>
      </c>
      <c r="C26" s="22" t="e">
        <f ca="1">_xll.qlCouponAccrualEndDate(C20,C23)</f>
        <v>#VALUE!</v>
      </c>
    </row>
    <row r="27" spans="1:3" ht="15">
      <c r="A27" s="24" t="s">
        <v>64</v>
      </c>
      <c r="B27" s="25" t="e">
        <f ca="1">_xll.qlCouponReferencePeriodStart(B20,B23)</f>
        <v>#VALUE!</v>
      </c>
      <c r="C27" s="26" t="e">
        <f ca="1">_xll.qlCouponReferencePeriodStart(C20,C23)</f>
        <v>#VALUE!</v>
      </c>
    </row>
    <row r="28" spans="1:3" ht="15">
      <c r="A28" s="29" t="s">
        <v>65</v>
      </c>
      <c r="B28" s="21" t="e">
        <f ca="1">_xll.qlCouponReferencePeriodEnd(B20,B23)</f>
        <v>#VALUE!</v>
      </c>
      <c r="C28" s="22" t="e">
        <f ca="1">_xll.qlCouponReferencePeriodEnd(C20,C23)</f>
        <v>#VALUE!</v>
      </c>
    </row>
    <row r="29" spans="1:3" ht="15">
      <c r="A29" s="24" t="s">
        <v>66</v>
      </c>
      <c r="B29" s="27" t="e">
        <f ca="1">_xll.qlCouponExCouponDate(B20,B23)</f>
        <v>#VALUE!</v>
      </c>
      <c r="C29" s="26" t="e">
        <f ca="1">_xll.qlCouponExCouponDate(C20,C23)</f>
        <v>#VALUE!</v>
      </c>
    </row>
    <row r="30" spans="1:3" ht="15">
      <c r="A30" s="29" t="s">
        <v>67</v>
      </c>
      <c r="B30" s="19" t="e">
        <f ca="1">_xll.qlCouponRate(B20,B23)</f>
        <v>#VALUE!</v>
      </c>
      <c r="C30" s="20" t="e">
        <f ca="1">_xll.qlCouponRate(C20,C23)</f>
        <v>#VALUE!</v>
      </c>
    </row>
    <row r="31" spans="1:3" ht="15">
      <c r="A31" s="24" t="s">
        <v>68</v>
      </c>
      <c r="B31" s="27" t="e">
        <f ca="1">_xll.qlCouponAccrualPeriod(B20,B23)</f>
        <v>#VALUE!</v>
      </c>
      <c r="C31" s="28" t="e">
        <f ca="1">_xll.qlCouponAccrualPeriod(C20,C23)</f>
        <v>#VALUE!</v>
      </c>
    </row>
    <row r="32" spans="1:3" ht="15">
      <c r="A32" s="29" t="s">
        <v>69</v>
      </c>
      <c r="B32" s="19" t="e">
        <f ca="1">_xll.qlCouponAccrualDays(B20,B23)</f>
        <v>#VALUE!</v>
      </c>
      <c r="C32" s="20" t="e">
        <f ca="1">_xll.qlCouponAccrualDays(C20,C23)</f>
        <v>#VALUE!</v>
      </c>
    </row>
    <row r="33" spans="1:3" ht="15">
      <c r="A33" s="24" t="s">
        <v>70</v>
      </c>
      <c r="B33" s="27" t="e">
        <f ca="1">_xll.qlCouponDayCounter(B20,B23)</f>
        <v>#VALUE!</v>
      </c>
      <c r="C33" s="28" t="e">
        <f ca="1">_xll.qlCouponDayCounter(C20,C23)</f>
        <v>#VALUE!</v>
      </c>
    </row>
    <row r="34" spans="1:3" ht="15">
      <c r="A34" s="29" t="s">
        <v>71</v>
      </c>
      <c r="B34" s="19" t="e">
        <f ca="1">_xll.qlCouponAccruedAmount(B20,"01.10.2024",B23)</f>
        <v>#VALUE!</v>
      </c>
      <c r="C34" s="20" t="e">
        <f ca="1">_xll.qlCouponAccruedAmount(C20,"01.10.2024",C23)</f>
        <v>#VALUE!</v>
      </c>
    </row>
    <row r="35" spans="1:3" ht="15">
      <c r="A35" s="24" t="s">
        <v>72</v>
      </c>
      <c r="B35" s="25" t="e">
        <f ca="1">_xll.qlFloatingRateCouponFixingDate(B20,B23)</f>
        <v>#VALUE!</v>
      </c>
      <c r="C35" s="26" t="e">
        <f ca="1">_xll.qlFloatingRateCouponFixingDate(C20,C23)</f>
        <v>#VALUE!</v>
      </c>
    </row>
    <row r="36" spans="1:3" ht="15">
      <c r="A36" s="29" t="s">
        <v>73</v>
      </c>
      <c r="B36" s="19" t="e">
        <f ca="1">_xll.qlFloatingRateCouponFixingDays(B20,B23)</f>
        <v>#VALUE!</v>
      </c>
      <c r="C36" s="20" t="e">
        <f ca="1">_xll.qlFloatingRateCouponFixingDays(C20,C23)</f>
        <v>#VALUE!</v>
      </c>
    </row>
    <row r="37" spans="1:3" ht="15">
      <c r="A37" s="24" t="s">
        <v>129</v>
      </c>
      <c r="B37" s="27" t="e">
        <f ca="1">_xll.qlFloatingRateCouponFixingConvention(B20,B23)</f>
        <v>#VALUE!</v>
      </c>
      <c r="C37" s="28" t="e">
        <f ca="1">_xll.qlFloatingRateCouponFixingConvention(C20,C23)</f>
        <v>#VALUE!</v>
      </c>
    </row>
    <row r="38" spans="1:3" ht="15">
      <c r="A38" s="29" t="s">
        <v>74</v>
      </c>
      <c r="B38" s="19" t="e">
        <f ca="1">_xll.qlFloatingRateCouponIsInArrears(B20,B23)</f>
        <v>#VALUE!</v>
      </c>
      <c r="C38" s="20" t="e">
        <f ca="1">_xll.qlFloatingRateCouponIsInArrears(C20,C23)</f>
        <v>#VALUE!</v>
      </c>
    </row>
    <row r="39" spans="1:3" ht="15">
      <c r="A39" s="24" t="s">
        <v>75</v>
      </c>
      <c r="B39" s="27" t="e">
        <f ca="1">_xll.qlFloatingRateCouponGearing(B20,B23)</f>
        <v>#VALUE!</v>
      </c>
      <c r="C39" s="28" t="e">
        <f ca="1">_xll.qlFloatingRateCouponGearing(C20,C23)</f>
        <v>#VALUE!</v>
      </c>
    </row>
    <row r="40" spans="1:3" ht="15">
      <c r="A40" s="29" t="s">
        <v>76</v>
      </c>
      <c r="B40" s="19" t="e">
        <f ca="1">_xll.qlFloatingRateCouponSpread(B20,B23)</f>
        <v>#VALUE!</v>
      </c>
      <c r="C40" s="20" t="e">
        <f ca="1">_xll.qlFloatingRateCouponSpread(C20,C23)</f>
        <v>#VALUE!</v>
      </c>
    </row>
    <row r="41" spans="1:3" ht="15">
      <c r="A41" s="24" t="s">
        <v>77</v>
      </c>
      <c r="B41" s="27" t="e">
        <f ca="1">_xll.qlFloatingRateCouponIndexFixing(B20,B23)</f>
        <v>#VALUE!</v>
      </c>
      <c r="C41" s="28" t="e">
        <f ca="1">_xll.qlFloatingRateCouponIndexFixing(C20,C23)</f>
        <v>#VALUE!</v>
      </c>
    </row>
    <row r="42" spans="1:3" ht="15">
      <c r="A42" s="29" t="s">
        <v>78</v>
      </c>
      <c r="B42" s="19" t="e">
        <f ca="1">_xll.qlFloatingRateCouponAdjustedFixing(B20,B23)</f>
        <v>#VALUE!</v>
      </c>
      <c r="C42" s="20" t="e">
        <f ca="1">_xll.qlFloatingRateCouponAdjustedFixing(C20,C23)</f>
        <v>#VALUE!</v>
      </c>
    </row>
    <row r="43" spans="1:3" ht="15">
      <c r="A43" s="24" t="s">
        <v>79</v>
      </c>
      <c r="B43" s="27" t="e">
        <f ca="1">_xll.qlFloatingRateCouponConvexityAdjustment(B20,B23)</f>
        <v>#VALUE!</v>
      </c>
      <c r="C43" s="28" t="e">
        <f ca="1">_xll.qlFloatingRateCouponConvexityAdjustment(C20,C23)</f>
        <v>#VALUE!</v>
      </c>
    </row>
    <row r="44" spans="1:3">
      <c r="A44" s="30" t="s">
        <v>124</v>
      </c>
      <c r="B44" s="19" t="e">
        <f ca="1">_xll.qlFlatForward($B$1,0.02,"actual365fixed",,,B2)</f>
        <v>#VALUE!</v>
      </c>
      <c r="C44" s="20" t="e">
        <f ca="1">_xll.qlFlatForward($B$1,0.02,"actual365fixed",,,C2)</f>
        <v>#VALUE!</v>
      </c>
    </row>
    <row r="45" spans="1:3" ht="15">
      <c r="A45" s="29" t="s">
        <v>80</v>
      </c>
      <c r="B45" s="19" t="e">
        <f ca="1">_xll.qlFloatingRateCouponPrice(B20,B44,B23)</f>
        <v>#VALUE!</v>
      </c>
      <c r="C45" s="20" t="e">
        <f ca="1">_xll.qlFloatingRateCouponPrice(C20,C44,C23)</f>
        <v>#VALUE!</v>
      </c>
    </row>
    <row r="46" spans="1:3" ht="15">
      <c r="A46" s="24" t="s">
        <v>81</v>
      </c>
      <c r="B46" s="27" t="e">
        <f ca="1">_xll.qlFloatingRateCouponIndex(B20,B23)</f>
        <v>#VALUE!</v>
      </c>
      <c r="C46" s="28" t="e">
        <f ca="1">_xll.qlFloatingRateCouponIndex(C20,C23)</f>
        <v>#VALUE!</v>
      </c>
    </row>
    <row r="47" spans="1:3" ht="15">
      <c r="A47" s="29" t="s">
        <v>85</v>
      </c>
      <c r="B47" s="19" t="e">
        <f ca="1">_xll.qlCappedFlooredCouponIsCapped(B20,B23)</f>
        <v>#VALUE!</v>
      </c>
      <c r="C47" s="20" t="e">
        <f ca="1">_xll.qlCappedFlooredCouponIsCapped(C20,C23)</f>
        <v>#VALUE!</v>
      </c>
    </row>
    <row r="48" spans="1:3" ht="15">
      <c r="A48" s="24" t="s">
        <v>86</v>
      </c>
      <c r="B48" s="27" t="e">
        <f ca="1">_xll.qlCappedFlooredCouponIsFloored(B20,B23)</f>
        <v>#VALUE!</v>
      </c>
      <c r="C48" s="28" t="e">
        <f ca="1">_xll.qlCappedFlooredCouponIsFloored(C20,C23)</f>
        <v>#VALUE!</v>
      </c>
    </row>
    <row r="49" spans="1:3" ht="15">
      <c r="A49" s="29" t="s">
        <v>87</v>
      </c>
      <c r="B49" s="19" t="e">
        <f ca="1">_xll.qlCappedFlooredCouponCap(B20,B23)</f>
        <v>#VALUE!</v>
      </c>
      <c r="C49" s="20" t="e">
        <f ca="1">_xll.qlCappedFlooredCouponCap(C20,C23)</f>
        <v>#VALUE!</v>
      </c>
    </row>
    <row r="50" spans="1:3" ht="15">
      <c r="A50" s="24" t="s">
        <v>88</v>
      </c>
      <c r="B50" s="27" t="e">
        <f ca="1">_xll.qlCappedFlooredCouponFloor(B20,B23)</f>
        <v>#VALUE!</v>
      </c>
      <c r="C50" s="28" t="e">
        <f ca="1">_xll.qlCappedFlooredCouponFloor(C20,C23)</f>
        <v>#VALUE!</v>
      </c>
    </row>
    <row r="51" spans="1:3" ht="15">
      <c r="A51" s="29" t="s">
        <v>89</v>
      </c>
      <c r="B51" s="19" t="e">
        <f ca="1">_xll.qlCappedFlooredCouponEffectiveCap(B20,B23)</f>
        <v>#VALUE!</v>
      </c>
      <c r="C51" s="20" t="e">
        <f ca="1">_xll.qlCappedFlooredCouponEffectiveCap(C20,C23)</f>
        <v>#VALUE!</v>
      </c>
    </row>
    <row r="52" spans="1:3" ht="15">
      <c r="A52" s="24" t="s">
        <v>90</v>
      </c>
      <c r="B52" s="27" t="e">
        <f ca="1">_xll.qlCappedFlooredCouponEffectiveFloor(B20,B23)</f>
        <v>#VALUE!</v>
      </c>
      <c r="C52" s="28" t="e">
        <f ca="1">_xll.qlCappedFlooredCouponEffectiveFloor(C20,C23)</f>
        <v>#VALUE!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189FD-C8F8-4090-B2E1-04E499EEED39}">
  <dimension ref="A1:C6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3" sqref="B23"/>
    </sheetView>
  </sheetViews>
  <sheetFormatPr baseColWidth="10" defaultRowHeight="14.25"/>
  <cols>
    <col min="1" max="1" width="51.625" bestFit="1" customWidth="1"/>
    <col min="2" max="2" width="91.375" style="8" bestFit="1" customWidth="1"/>
    <col min="3" max="3" width="91.37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 t="e">
        <f ca="1">_xll.qlSettingsSetEvaluationDate(B1)</f>
        <v>#VALUE!</v>
      </c>
    </row>
    <row r="4" spans="1:3">
      <c r="A4" s="15" t="s">
        <v>111</v>
      </c>
      <c r="B4" s="16">
        <v>45475</v>
      </c>
      <c r="C4" s="17">
        <v>45475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45293</v>
      </c>
      <c r="C6" s="22">
        <v>45293</v>
      </c>
    </row>
    <row r="7" spans="1:3">
      <c r="A7" s="18" t="s">
        <v>113</v>
      </c>
      <c r="B7" s="21">
        <v>45475</v>
      </c>
      <c r="C7" s="22">
        <v>45475</v>
      </c>
    </row>
    <row r="8" spans="1:3">
      <c r="A8" s="9" t="s">
        <v>124</v>
      </c>
      <c r="B8" s="10" t="e">
        <f ca="1">_xll.qlFlatForward($B$1,0.02,"actual365fixed",,,B1)</f>
        <v>#VALUE!</v>
      </c>
      <c r="C8" s="11" t="e">
        <f ca="1">_xll.qlFlatForward($B$1,0.02,"actual365fixed",,,C1)</f>
        <v>#VALUE!</v>
      </c>
    </row>
    <row r="9" spans="1:3">
      <c r="A9" s="12" t="s">
        <v>134</v>
      </c>
      <c r="B9" s="13" t="e">
        <f ca="1">_xll.qlEstr(B8)</f>
        <v>#VALUE!</v>
      </c>
      <c r="C9" s="14" t="e">
        <f ca="1">_xll.qlEstr(C8)</f>
        <v>#VALUE!</v>
      </c>
    </row>
    <row r="10" spans="1:3">
      <c r="A10" s="33" t="s">
        <v>116</v>
      </c>
      <c r="B10" s="19"/>
      <c r="C10" s="20">
        <v>1</v>
      </c>
    </row>
    <row r="11" spans="1:3">
      <c r="A11" s="18" t="s">
        <v>117</v>
      </c>
      <c r="B11" s="19"/>
      <c r="C11" s="20">
        <v>0</v>
      </c>
    </row>
    <row r="12" spans="1:3">
      <c r="A12" s="18" t="s">
        <v>118</v>
      </c>
      <c r="B12" s="21"/>
      <c r="C12" s="22">
        <v>45293</v>
      </c>
    </row>
    <row r="13" spans="1:3">
      <c r="A13" s="18" t="s">
        <v>119</v>
      </c>
      <c r="B13" s="21"/>
      <c r="C13" s="22">
        <v>45475</v>
      </c>
    </row>
    <row r="14" spans="1:3">
      <c r="A14" s="18" t="s">
        <v>120</v>
      </c>
      <c r="B14" s="19"/>
      <c r="C14" s="20" t="s">
        <v>127</v>
      </c>
    </row>
    <row r="15" spans="1:3">
      <c r="A15" s="18" t="s">
        <v>135</v>
      </c>
      <c r="B15" s="19"/>
      <c r="C15" s="20" t="b">
        <v>0</v>
      </c>
    </row>
    <row r="16" spans="1:3">
      <c r="A16" s="18" t="s">
        <v>136</v>
      </c>
      <c r="B16" s="19"/>
      <c r="C16" s="22" t="s">
        <v>143</v>
      </c>
    </row>
    <row r="17" spans="1:3">
      <c r="A17" s="18" t="s">
        <v>137</v>
      </c>
      <c r="B17" s="19"/>
      <c r="C17" s="34">
        <v>0</v>
      </c>
    </row>
    <row r="18" spans="1:3">
      <c r="A18" s="18" t="s">
        <v>138</v>
      </c>
      <c r="B18" s="19"/>
      <c r="C18" s="20">
        <v>0</v>
      </c>
    </row>
    <row r="19" spans="1:3">
      <c r="A19" s="18" t="s">
        <v>139</v>
      </c>
      <c r="B19" s="19"/>
      <c r="C19" s="20" t="b">
        <v>0</v>
      </c>
    </row>
    <row r="20" spans="1:3">
      <c r="A20" s="18" t="s">
        <v>140</v>
      </c>
      <c r="B20" s="19"/>
      <c r="C20" s="20" t="b">
        <v>0</v>
      </c>
    </row>
    <row r="21" spans="1:3">
      <c r="A21" s="18" t="s">
        <v>141</v>
      </c>
      <c r="B21" s="19"/>
      <c r="C21" s="22">
        <v>45293</v>
      </c>
    </row>
    <row r="22" spans="1:3">
      <c r="A22" s="18" t="s">
        <v>142</v>
      </c>
      <c r="B22" s="19"/>
      <c r="C22" s="22">
        <v>45475</v>
      </c>
    </row>
    <row r="23" spans="1:3" ht="15">
      <c r="A23" s="23" t="s">
        <v>29</v>
      </c>
      <c r="B23" s="13" t="e">
        <f ca="1">_xll.qlOvernightIndexedCoupon(B4,B5,B6,B7,B9,,,,,,,,,,,,,B9)</f>
        <v>#VALUE!</v>
      </c>
      <c r="C23" s="14" t="e">
        <f ca="1">_xll.qlOvernightIndexedCoupon(C4,C5,C6,C7,C9,C10,C11,C12,C13,C14,C15,C16,C17,C18,C19,C20,C21,C22,C9)</f>
        <v>#VALUE!</v>
      </c>
    </row>
    <row r="24" spans="1:3">
      <c r="A24" s="35" t="s">
        <v>133</v>
      </c>
      <c r="B24" s="10"/>
      <c r="C24" s="11" t="e">
        <f ca="1">_xll.qlConstantOptionletVolatility($B$1,"TARGET","ModifiedFollowing",0.2,"actual360",,,C23)</f>
        <v>#VALUE!</v>
      </c>
    </row>
    <row r="25" spans="1:3" ht="15">
      <c r="A25" s="23" t="s">
        <v>144</v>
      </c>
      <c r="B25" s="13" t="e">
        <f ca="1">_xll.qlBlackCompoundingOvernightIndexedCouponPricer()</f>
        <v>#VALUE!</v>
      </c>
      <c r="C25" s="14" t="e">
        <f ca="1">_xll.qlBlackCompoundingOvernightIndexedCouponPricer(C24)</f>
        <v>#VALUE!</v>
      </c>
    </row>
    <row r="26" spans="1:3" ht="15">
      <c r="A26" s="23" t="s">
        <v>132</v>
      </c>
      <c r="B26" s="13" t="e">
        <f ca="1">_xll.qlFloatingRateCouponSetPricer(B23,B25)</f>
        <v>#VALUE!</v>
      </c>
      <c r="C26" s="14" t="e">
        <f ca="1">_xll.qlFloatingRateCouponSetPricer(C23,C25)</f>
        <v>#VALUE!</v>
      </c>
    </row>
    <row r="27" spans="1:3" ht="15">
      <c r="A27" s="29" t="s">
        <v>61</v>
      </c>
      <c r="B27" s="19" t="e">
        <f ca="1">_xll.qlCouponNominal(B23,B26)</f>
        <v>#VALUE!</v>
      </c>
      <c r="C27" s="20" t="e">
        <f ca="1">_xll.qlCouponNominal(C23,C26)</f>
        <v>#VALUE!</v>
      </c>
    </row>
    <row r="28" spans="1:3" ht="15">
      <c r="A28" s="24" t="s">
        <v>62</v>
      </c>
      <c r="B28" s="25" t="e">
        <f ca="1">_xll.qlCouponAccrualStartDate(B23,B26)</f>
        <v>#VALUE!</v>
      </c>
      <c r="C28" s="26" t="e">
        <f ca="1">_xll.qlCouponAccrualStartDate(C23,C26)</f>
        <v>#VALUE!</v>
      </c>
    </row>
    <row r="29" spans="1:3" ht="15">
      <c r="A29" s="29" t="s">
        <v>63</v>
      </c>
      <c r="B29" s="21" t="e">
        <f ca="1">_xll.qlCouponAccrualEndDate(B23,B26)</f>
        <v>#VALUE!</v>
      </c>
      <c r="C29" s="22" t="e">
        <f ca="1">_xll.qlCouponAccrualEndDate(C23,C26)</f>
        <v>#VALUE!</v>
      </c>
    </row>
    <row r="30" spans="1:3" ht="15">
      <c r="A30" s="24" t="s">
        <v>64</v>
      </c>
      <c r="B30" s="25" t="e">
        <f ca="1">_xll.qlCouponReferencePeriodStart(B23,B26)</f>
        <v>#VALUE!</v>
      </c>
      <c r="C30" s="26" t="e">
        <f ca="1">_xll.qlCouponReferencePeriodStart(C23,C26)</f>
        <v>#VALUE!</v>
      </c>
    </row>
    <row r="31" spans="1:3" ht="15">
      <c r="A31" s="29" t="s">
        <v>65</v>
      </c>
      <c r="B31" s="21" t="e">
        <f ca="1">_xll.qlCouponReferencePeriodEnd(B23,B26)</f>
        <v>#VALUE!</v>
      </c>
      <c r="C31" s="22" t="e">
        <f ca="1">_xll.qlCouponReferencePeriodEnd(C23,C26)</f>
        <v>#VALUE!</v>
      </c>
    </row>
    <row r="32" spans="1:3" ht="15">
      <c r="A32" s="24" t="s">
        <v>66</v>
      </c>
      <c r="B32" s="27" t="e">
        <f ca="1">_xll.qlCouponExCouponDate(B23,B26)</f>
        <v>#VALUE!</v>
      </c>
      <c r="C32" s="26" t="e">
        <f ca="1">_xll.qlCouponExCouponDate(C23,C26)</f>
        <v>#VALUE!</v>
      </c>
    </row>
    <row r="33" spans="1:3" ht="15">
      <c r="A33" s="29" t="s">
        <v>67</v>
      </c>
      <c r="B33" s="19" t="e">
        <f ca="1">_xll.qlCouponRate(B23,B26)</f>
        <v>#VALUE!</v>
      </c>
      <c r="C33" s="20" t="e">
        <f ca="1">_xll.qlCouponRate(C23,C26)</f>
        <v>#VALUE!</v>
      </c>
    </row>
    <row r="34" spans="1:3" ht="15">
      <c r="A34" s="24" t="s">
        <v>68</v>
      </c>
      <c r="B34" s="27" t="e">
        <f ca="1">_xll.qlCouponAccrualPeriod(B23,B26)</f>
        <v>#VALUE!</v>
      </c>
      <c r="C34" s="28" t="e">
        <f ca="1">_xll.qlCouponAccrualPeriod(C23,C26)</f>
        <v>#VALUE!</v>
      </c>
    </row>
    <row r="35" spans="1:3" ht="15">
      <c r="A35" s="29" t="s">
        <v>69</v>
      </c>
      <c r="B35" s="19" t="e">
        <f ca="1">_xll.qlCouponAccrualDays(B23,B26)</f>
        <v>#VALUE!</v>
      </c>
      <c r="C35" s="20" t="e">
        <f ca="1">_xll.qlCouponAccrualDays(C23,C26)</f>
        <v>#VALUE!</v>
      </c>
    </row>
    <row r="36" spans="1:3" ht="15">
      <c r="A36" s="24" t="s">
        <v>70</v>
      </c>
      <c r="B36" s="27" t="e">
        <f ca="1">_xll.qlCouponDayCounter(B23,B26)</f>
        <v>#VALUE!</v>
      </c>
      <c r="C36" s="28" t="e">
        <f ca="1">_xll.qlCouponDayCounter(C23,C26)</f>
        <v>#VALUE!</v>
      </c>
    </row>
    <row r="37" spans="1:3" ht="15">
      <c r="A37" s="29" t="s">
        <v>71</v>
      </c>
      <c r="B37" s="19" t="e">
        <f ca="1">_xll.qlCouponAccruedAmount(B23,"01.10.2024",B26)</f>
        <v>#VALUE!</v>
      </c>
      <c r="C37" s="20" t="e">
        <f ca="1">_xll.qlCouponAccruedAmount(C23,"01.10.2024",C26)</f>
        <v>#VALUE!</v>
      </c>
    </row>
    <row r="38" spans="1:3" ht="15">
      <c r="A38" s="24" t="s">
        <v>72</v>
      </c>
      <c r="B38" s="25" t="e">
        <f ca="1">_xll.qlFloatingRateCouponFixingDate(B23,B26)</f>
        <v>#VALUE!</v>
      </c>
      <c r="C38" s="26" t="e">
        <f ca="1">_xll.qlFloatingRateCouponFixingDate(C23,C26)</f>
        <v>#VALUE!</v>
      </c>
    </row>
    <row r="39" spans="1:3" ht="15">
      <c r="A39" s="29" t="s">
        <v>73</v>
      </c>
      <c r="B39" s="19" t="e">
        <f ca="1">_xll.qlFloatingRateCouponFixingDays(B23,B26)</f>
        <v>#VALUE!</v>
      </c>
      <c r="C39" s="20" t="e">
        <f ca="1">_xll.qlFloatingRateCouponFixingDays(C23,C26)</f>
        <v>#VALUE!</v>
      </c>
    </row>
    <row r="40" spans="1:3" ht="15">
      <c r="A40" s="24" t="s">
        <v>129</v>
      </c>
      <c r="B40" s="27" t="e">
        <f ca="1">_xll.qlFloatingRateCouponFixingConvention(B23,B26)</f>
        <v>#VALUE!</v>
      </c>
      <c r="C40" s="28" t="e">
        <f ca="1">_xll.qlFloatingRateCouponFixingConvention(C23,C26)</f>
        <v>#VALUE!</v>
      </c>
    </row>
    <row r="41" spans="1:3" ht="15">
      <c r="A41" s="29" t="s">
        <v>74</v>
      </c>
      <c r="B41" s="19" t="e">
        <f ca="1">_xll.qlFloatingRateCouponIsInArrears(B23,B26)</f>
        <v>#VALUE!</v>
      </c>
      <c r="C41" s="20" t="e">
        <f ca="1">_xll.qlFloatingRateCouponIsInArrears(C23,C26)</f>
        <v>#VALUE!</v>
      </c>
    </row>
    <row r="42" spans="1:3" ht="15">
      <c r="A42" s="24" t="s">
        <v>75</v>
      </c>
      <c r="B42" s="27" t="e">
        <f ca="1">_xll.qlFloatingRateCouponGearing(B23,B26)</f>
        <v>#VALUE!</v>
      </c>
      <c r="C42" s="28" t="e">
        <f ca="1">_xll.qlFloatingRateCouponGearing(C23,C26)</f>
        <v>#VALUE!</v>
      </c>
    </row>
    <row r="43" spans="1:3" ht="15">
      <c r="A43" s="29" t="s">
        <v>76</v>
      </c>
      <c r="B43" s="19" t="e">
        <f ca="1">_xll.qlFloatingRateCouponSpread(B23,B26)</f>
        <v>#VALUE!</v>
      </c>
      <c r="C43" s="20" t="e">
        <f ca="1">_xll.qlFloatingRateCouponSpread(C23,C26)</f>
        <v>#VALUE!</v>
      </c>
    </row>
    <row r="44" spans="1:3" ht="15">
      <c r="A44" s="24" t="s">
        <v>77</v>
      </c>
      <c r="B44" s="27" t="e">
        <f ca="1">_xll.qlFloatingRateCouponIndexFixing(B23,B26)</f>
        <v>#VALUE!</v>
      </c>
      <c r="C44" s="28" t="e">
        <f ca="1">_xll.qlFloatingRateCouponIndexFixing(C23,C26)</f>
        <v>#VALUE!</v>
      </c>
    </row>
    <row r="45" spans="1:3" ht="15">
      <c r="A45" s="29" t="s">
        <v>78</v>
      </c>
      <c r="B45" s="19" t="e">
        <f ca="1">_xll.qlFloatingRateCouponAdjustedFixing(B23,B26)</f>
        <v>#VALUE!</v>
      </c>
      <c r="C45" s="20" t="e">
        <f ca="1">_xll.qlFloatingRateCouponAdjustedFixing(C23,C26)</f>
        <v>#VALUE!</v>
      </c>
    </row>
    <row r="46" spans="1:3" ht="15">
      <c r="A46" s="24" t="s">
        <v>79</v>
      </c>
      <c r="B46" s="27" t="e">
        <f ca="1">_xll.qlFloatingRateCouponConvexityAdjustment(B23,B26)</f>
        <v>#VALUE!</v>
      </c>
      <c r="C46" s="28" t="e">
        <f ca="1">_xll.qlFloatingRateCouponConvexityAdjustment(C23,C26)</f>
        <v>#VALUE!</v>
      </c>
    </row>
    <row r="47" spans="1:3">
      <c r="A47" s="30" t="s">
        <v>124</v>
      </c>
      <c r="B47" s="19" t="e">
        <f ca="1">_xll.qlFlatForward($B$1,0.02,"actual365fixed",,,B2)</f>
        <v>#VALUE!</v>
      </c>
      <c r="C47" s="20" t="e">
        <f ca="1">_xll.qlFlatForward($B$1,0.02,"actual365fixed",,,C2)</f>
        <v>#VALUE!</v>
      </c>
    </row>
    <row r="48" spans="1:3" ht="15">
      <c r="A48" s="29" t="s">
        <v>80</v>
      </c>
      <c r="B48" s="19" t="e">
        <f ca="1">_xll.qlFloatingRateCouponPrice(B23,B47,B26)</f>
        <v>#VALUE!</v>
      </c>
      <c r="C48" s="20" t="e">
        <f ca="1">_xll.qlFloatingRateCouponPrice(C23,C47,C26)</f>
        <v>#VALUE!</v>
      </c>
    </row>
    <row r="49" spans="1:3" ht="15">
      <c r="A49" s="24" t="s">
        <v>81</v>
      </c>
      <c r="B49" s="27" t="e">
        <f ca="1">_xll.qlFloatingRateCouponIndex(B23,B26)</f>
        <v>#VALUE!</v>
      </c>
      <c r="C49" s="28" t="e">
        <f ca="1">_xll.qlFloatingRateCouponIndex(C23,C26)</f>
        <v>#VALUE!</v>
      </c>
    </row>
    <row r="50" spans="1:3" ht="15">
      <c r="A50" s="29" t="s">
        <v>91</v>
      </c>
      <c r="B50" s="19" t="e">
        <f ca="1">_xll.qlOvernightIndexedCouponAveragingMethod(B23,B26)</f>
        <v>#VALUE!</v>
      </c>
      <c r="C50" s="20" t="e">
        <f ca="1">_xll.qlOvernightIndexedCouponAveragingMethod(C23,C26)</f>
        <v>#VALUE!</v>
      </c>
    </row>
    <row r="51" spans="1:3" ht="15">
      <c r="A51" s="24" t="s">
        <v>92</v>
      </c>
      <c r="B51" s="27" t="e">
        <f ca="1">_xll.qlOvernightIndexedCouponCanApplyTelescopicFormula(B23,B25)</f>
        <v>#VALUE!</v>
      </c>
      <c r="C51" s="28" t="e">
        <f ca="1">_xll.qlOvernightIndexedCouponCanApplyTelescopicFormula(C23,C25)</f>
        <v>#VALUE!</v>
      </c>
    </row>
    <row r="52" spans="1:3" ht="15">
      <c r="A52" s="29" t="s">
        <v>93</v>
      </c>
      <c r="B52" s="19" t="e">
        <f ca="1">_xll.qlOvernightIndexedCouponApplyObservationShift(B23,B25)</f>
        <v>#VALUE!</v>
      </c>
      <c r="C52" s="20" t="e">
        <f ca="1">_xll.qlOvernightIndexedCouponApplyObservationShift(C23,C25)</f>
        <v>#VALUE!</v>
      </c>
    </row>
    <row r="53" spans="1:3" ht="15">
      <c r="A53" s="24" t="s">
        <v>94</v>
      </c>
      <c r="B53" s="27" t="e">
        <f ca="1">_xll.qlOvernightIndexedCouponCompoundSpreadDaily(B23,B25)</f>
        <v>#VALUE!</v>
      </c>
      <c r="C53" s="28" t="e">
        <f ca="1">_xll.qlOvernightIndexedCouponCompoundSpreadDaily(C23,C25)</f>
        <v>#VALUE!</v>
      </c>
    </row>
    <row r="54" spans="1:3" ht="15">
      <c r="A54" s="29" t="s">
        <v>95</v>
      </c>
      <c r="B54" s="19" t="e">
        <f ca="1">_xll.qlOvernightIndexedCouponLockoutDays(B23,B25)</f>
        <v>#VALUE!</v>
      </c>
      <c r="C54" s="20" t="e">
        <f ca="1">_xll.qlOvernightIndexedCouponLockoutDays(C23,C25)</f>
        <v>#VALUE!</v>
      </c>
    </row>
    <row r="55" spans="1:3" ht="15">
      <c r="A55" s="24" t="s">
        <v>96</v>
      </c>
      <c r="B55" s="25" t="e">
        <f ca="1">_xll.qlOvernightIndexedCouponRateComputationStartDate(B23,B25)</f>
        <v>#VALUE!</v>
      </c>
      <c r="C55" s="26" t="e">
        <f ca="1">_xll.qlOvernightIndexedCouponRateComputationStartDate(C23,C25)</f>
        <v>#VALUE!</v>
      </c>
    </row>
    <row r="56" spans="1:3" ht="15">
      <c r="A56" s="29" t="s">
        <v>97</v>
      </c>
      <c r="B56" s="21" t="e">
        <f ca="1">_xll.qlOvernightIndexedCouponRateComputationEndDate(B23,B25)</f>
        <v>#VALUE!</v>
      </c>
      <c r="C56" s="22" t="e">
        <f ca="1">_xll.qlOvernightIndexedCouponRateComputationEndDate(C23,C25)</f>
        <v>#VALUE!</v>
      </c>
    </row>
    <row r="57" spans="1:3" ht="15">
      <c r="A57" s="24" t="s">
        <v>98</v>
      </c>
      <c r="B57" s="25" t="e">
        <f ca="1">_xll.qlOvernightIndexedCouponValueDates(B23,B25)</f>
        <v>#VALUE!</v>
      </c>
      <c r="C57" s="26" t="e">
        <f ca="1">_xll.qlOvernightIndexedCouponValueDates(C23,C25)</f>
        <v>#VALUE!</v>
      </c>
    </row>
    <row r="58" spans="1:3" ht="15">
      <c r="A58" s="29" t="s">
        <v>99</v>
      </c>
      <c r="B58" s="21" t="e">
        <f ca="1">_xll.qlOvernightIndexedCouponFixingDates(B23,B25)</f>
        <v>#VALUE!</v>
      </c>
      <c r="C58" s="22" t="e">
        <f ca="1">_xll.qlOvernightIndexedCouponFixingDates(C23,C25)</f>
        <v>#VALUE!</v>
      </c>
    </row>
    <row r="59" spans="1:3" ht="15">
      <c r="A59" s="24" t="s">
        <v>100</v>
      </c>
      <c r="B59" s="27" t="e">
        <f ca="1">_xll.qlOvernightIndexedCouponDt(B23,B25)</f>
        <v>#VALUE!</v>
      </c>
      <c r="C59" s="28" t="e">
        <f ca="1">_xll.qlOvernightIndexedCouponDt(C23,C25)</f>
        <v>#VALUE!</v>
      </c>
    </row>
    <row r="60" spans="1:3" ht="15">
      <c r="A60" s="29" t="s">
        <v>101</v>
      </c>
      <c r="B60" s="19" t="e">
        <f ca="1">_xll.qlOvernightIndexedCouponIndexFixings(B23,B25)</f>
        <v>#VALUE!</v>
      </c>
      <c r="C60" s="20" t="e">
        <f ca="1">_xll.qlOvernightIndexedCouponIndexFixings(C23,C25)</f>
        <v>#VALUE!</v>
      </c>
    </row>
    <row r="61" spans="1:3" ht="15">
      <c r="A61" s="24" t="s">
        <v>102</v>
      </c>
      <c r="B61" s="27" t="e">
        <f ca="1">_xll.qlOvernightIndexedCouponEffectiveIndexFixing(B23,B25)</f>
        <v>#VALUE!</v>
      </c>
      <c r="C61" s="28" t="e">
        <f ca="1">_xll.qlOvernightIndexedCouponEffectiveIndexFixing(C23,C25)</f>
        <v>#VALUE!</v>
      </c>
    </row>
    <row r="62" spans="1:3" ht="15">
      <c r="A62" s="23" t="s">
        <v>103</v>
      </c>
      <c r="B62" s="13" t="e">
        <f ca="1">_xll.qlOvernightIndexedCouponEffectiveSpread(B23,B25)</f>
        <v>#VALUE!</v>
      </c>
      <c r="C62" s="14" t="e">
        <f ca="1">_xll.qlOvernightIndexedCouponEffectiveSpread(C23,C25)</f>
        <v>#VALUE!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FC8A5-9394-4EB7-BCAE-447F9DD17ABC}">
  <dimension ref="A1:C4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RowHeight="14.25"/>
  <cols>
    <col min="1" max="1" width="51.625" bestFit="1" customWidth="1"/>
    <col min="2" max="2" width="73" style="8" bestFit="1" customWidth="1"/>
    <col min="3" max="3" width="91.37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 t="e">
        <f ca="1">_xll.qlSettingsSetEvaluationDate(B1)</f>
        <v>#VALUE!</v>
      </c>
    </row>
    <row r="4" spans="1:3">
      <c r="A4" s="15" t="s">
        <v>111</v>
      </c>
      <c r="B4" s="16">
        <v>45475</v>
      </c>
      <c r="C4" s="17">
        <v>45475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45293</v>
      </c>
      <c r="C6" s="22">
        <v>45293</v>
      </c>
    </row>
    <row r="7" spans="1:3">
      <c r="A7" s="18" t="s">
        <v>113</v>
      </c>
      <c r="B7" s="21">
        <v>45475</v>
      </c>
      <c r="C7" s="22">
        <v>45475</v>
      </c>
    </row>
    <row r="8" spans="1:3">
      <c r="A8" s="18" t="s">
        <v>114</v>
      </c>
      <c r="B8" s="32">
        <v>2</v>
      </c>
      <c r="C8" s="34">
        <v>2</v>
      </c>
    </row>
    <row r="9" spans="1:3">
      <c r="A9" s="30" t="s">
        <v>124</v>
      </c>
      <c r="B9" s="10" t="e">
        <f ca="1">_xll.qlFlatForward($B$1,0.02,"actual365fixed",,,$B$1)</f>
        <v>#VALUE!</v>
      </c>
      <c r="C9" s="11" t="e">
        <f ca="1">_xll.qlFlatForward($B$1,0.02,"actual365fixed",,,$B$1)</f>
        <v>#VALUE!</v>
      </c>
    </row>
    <row r="10" spans="1:3">
      <c r="A10" s="30" t="s">
        <v>146</v>
      </c>
      <c r="B10" s="19" t="e">
        <f ca="1">_xll.qlEuribor("6M",B9)</f>
        <v>#VALUE!</v>
      </c>
      <c r="C10" s="20" t="e">
        <f ca="1">_xll.qlEuribor("6M",C9)</f>
        <v>#VALUE!</v>
      </c>
    </row>
    <row r="11" spans="1:3">
      <c r="A11" s="12" t="s">
        <v>145</v>
      </c>
      <c r="B11" s="13" t="e">
        <f ca="1">_xll.qlSwapIndex("TSwapIndex","10Y",2,"EUR","TARGET","1Y","ModifiedFollowing","actual365fixed",B10,,B10)</f>
        <v>#VALUE!</v>
      </c>
      <c r="C11" s="14" t="e">
        <f ca="1">_xll.qlSwapIndex("TSwapIndex","10Y",2,"EUR","TARGET","1Y","ModifiedFollowing","actual365fixed",C10,,C10)</f>
        <v>#VALUE!</v>
      </c>
    </row>
    <row r="12" spans="1:3">
      <c r="A12" s="33" t="s">
        <v>116</v>
      </c>
      <c r="B12" s="19"/>
      <c r="C12" s="20">
        <v>1</v>
      </c>
    </row>
    <row r="13" spans="1:3">
      <c r="A13" s="18" t="s">
        <v>117</v>
      </c>
      <c r="B13" s="19"/>
      <c r="C13" s="20">
        <v>1E-3</v>
      </c>
    </row>
    <row r="14" spans="1:3">
      <c r="A14" s="18" t="s">
        <v>118</v>
      </c>
      <c r="B14" s="19"/>
      <c r="C14" s="22">
        <v>45293</v>
      </c>
    </row>
    <row r="15" spans="1:3">
      <c r="A15" s="18" t="s">
        <v>119</v>
      </c>
      <c r="B15" s="19"/>
      <c r="C15" s="22">
        <v>45475</v>
      </c>
    </row>
    <row r="16" spans="1:3">
      <c r="A16" s="18" t="s">
        <v>120</v>
      </c>
      <c r="B16" s="19"/>
      <c r="C16" s="20" t="s">
        <v>127</v>
      </c>
    </row>
    <row r="17" spans="1:3">
      <c r="A17" s="18" t="s">
        <v>121</v>
      </c>
      <c r="B17" s="19"/>
      <c r="C17" s="20" t="b">
        <v>0</v>
      </c>
    </row>
    <row r="18" spans="1:3">
      <c r="A18" s="18" t="s">
        <v>130</v>
      </c>
      <c r="B18" s="19"/>
      <c r="C18" s="22">
        <v>45475</v>
      </c>
    </row>
    <row r="19" spans="1:3">
      <c r="A19" s="18" t="s">
        <v>123</v>
      </c>
      <c r="B19" s="19"/>
      <c r="C19" s="34" t="s">
        <v>128</v>
      </c>
    </row>
    <row r="20" spans="1:3" ht="15">
      <c r="A20" s="23" t="s">
        <v>147</v>
      </c>
      <c r="B20" s="13" t="e">
        <f ca="1">_xll.qlCmsCoupon(B4,B5,B6,B7,B8,B11,,,,,,,,,B11)</f>
        <v>#VALUE!</v>
      </c>
      <c r="C20" s="14" t="e">
        <f ca="1">_xll.qlCmsCoupon(C4,C5,C6,C7,C8,C11,C12,C13,C14,C15,C16,C17,C18,C19,C11)</f>
        <v>#VALUE!</v>
      </c>
    </row>
    <row r="21" spans="1:3" ht="15">
      <c r="A21" s="36" t="s">
        <v>148</v>
      </c>
      <c r="B21" s="13" t="e">
        <f ca="1">_xll.qlBlackIborCouponPricer()</f>
        <v>#VALUE!</v>
      </c>
      <c r="C21" s="14"/>
    </row>
    <row r="22" spans="1:3" ht="15">
      <c r="A22" s="23" t="s">
        <v>132</v>
      </c>
      <c r="B22" s="13" t="e">
        <f ca="1">_xll.qlFloatingRateCouponSetPricer(B20,B21)</f>
        <v>#VALUE!</v>
      </c>
      <c r="C22" s="14"/>
    </row>
    <row r="23" spans="1:3" ht="15">
      <c r="A23" s="29" t="s">
        <v>61</v>
      </c>
      <c r="B23" s="19" t="e">
        <f ca="1">_xll.qlCouponNominal(B20,B22)</f>
        <v>#VALUE!</v>
      </c>
      <c r="C23" s="20" t="e">
        <f ca="1">_xll.qlCouponNominal(C20,C22)</f>
        <v>#VALUE!</v>
      </c>
    </row>
    <row r="24" spans="1:3" ht="15">
      <c r="A24" s="24" t="s">
        <v>62</v>
      </c>
      <c r="B24" s="25" t="e">
        <f ca="1">_xll.qlCouponAccrualStartDate(B20,B22)</f>
        <v>#VALUE!</v>
      </c>
      <c r="C24" s="26" t="e">
        <f ca="1">_xll.qlCouponAccrualStartDate(C20,C22)</f>
        <v>#VALUE!</v>
      </c>
    </row>
    <row r="25" spans="1:3" ht="15">
      <c r="A25" s="29" t="s">
        <v>63</v>
      </c>
      <c r="B25" s="21" t="e">
        <f ca="1">_xll.qlCouponAccrualEndDate(B20,B22)</f>
        <v>#VALUE!</v>
      </c>
      <c r="C25" s="22" t="e">
        <f ca="1">_xll.qlCouponAccrualEndDate(C20,C22)</f>
        <v>#VALUE!</v>
      </c>
    </row>
    <row r="26" spans="1:3" ht="15">
      <c r="A26" s="24" t="s">
        <v>64</v>
      </c>
      <c r="B26" s="25" t="e">
        <f ca="1">_xll.qlCouponReferencePeriodStart(B20,B22)</f>
        <v>#VALUE!</v>
      </c>
      <c r="C26" s="26" t="e">
        <f ca="1">_xll.qlCouponReferencePeriodStart(C20,C22)</f>
        <v>#VALUE!</v>
      </c>
    </row>
    <row r="27" spans="1:3" ht="15">
      <c r="A27" s="29" t="s">
        <v>65</v>
      </c>
      <c r="B27" s="21" t="e">
        <f ca="1">_xll.qlCouponReferencePeriodEnd(B20,B22)</f>
        <v>#VALUE!</v>
      </c>
      <c r="C27" s="22" t="e">
        <f ca="1">_xll.qlCouponReferencePeriodEnd(C20,C22)</f>
        <v>#VALUE!</v>
      </c>
    </row>
    <row r="28" spans="1:3" ht="15">
      <c r="A28" s="24" t="s">
        <v>66</v>
      </c>
      <c r="B28" s="27" t="e">
        <f ca="1">_xll.qlCouponExCouponDate(B20,B22)</f>
        <v>#VALUE!</v>
      </c>
      <c r="C28" s="26" t="e">
        <f ca="1">_xll.qlCouponExCouponDate(C20,C22)</f>
        <v>#VALUE!</v>
      </c>
    </row>
    <row r="29" spans="1:3" ht="15">
      <c r="A29" s="29" t="s">
        <v>67</v>
      </c>
      <c r="B29" s="19"/>
      <c r="C29" s="20"/>
    </row>
    <row r="30" spans="1:3" ht="15">
      <c r="A30" s="24" t="s">
        <v>68</v>
      </c>
      <c r="B30" s="27"/>
      <c r="C30" s="28"/>
    </row>
    <row r="31" spans="1:3" ht="15">
      <c r="A31" s="29" t="s">
        <v>69</v>
      </c>
      <c r="B31" s="19"/>
      <c r="C31" s="20"/>
    </row>
    <row r="32" spans="1:3" ht="15">
      <c r="A32" s="24" t="s">
        <v>70</v>
      </c>
      <c r="B32" s="27"/>
      <c r="C32" s="28"/>
    </row>
    <row r="33" spans="1:3" ht="15">
      <c r="A33" s="29" t="s">
        <v>71</v>
      </c>
      <c r="B33" s="19"/>
      <c r="C33" s="20"/>
    </row>
    <row r="34" spans="1:3" ht="15">
      <c r="A34" s="24" t="s">
        <v>72</v>
      </c>
      <c r="B34" s="25"/>
      <c r="C34" s="26"/>
    </row>
    <row r="35" spans="1:3" ht="15">
      <c r="A35" s="29" t="s">
        <v>73</v>
      </c>
      <c r="B35" s="19"/>
      <c r="C35" s="20"/>
    </row>
    <row r="36" spans="1:3" ht="15">
      <c r="A36" s="24" t="s">
        <v>129</v>
      </c>
      <c r="B36" s="27"/>
      <c r="C36" s="28"/>
    </row>
    <row r="37" spans="1:3" ht="15">
      <c r="A37" s="29" t="s">
        <v>74</v>
      </c>
      <c r="B37" s="19"/>
      <c r="C37" s="20"/>
    </row>
    <row r="38" spans="1:3" ht="15">
      <c r="A38" s="24" t="s">
        <v>75</v>
      </c>
      <c r="B38" s="27"/>
      <c r="C38" s="28"/>
    </row>
    <row r="39" spans="1:3" ht="15">
      <c r="A39" s="29" t="s">
        <v>76</v>
      </c>
      <c r="B39" s="19"/>
      <c r="C39" s="20"/>
    </row>
    <row r="40" spans="1:3" ht="15">
      <c r="A40" s="24" t="s">
        <v>77</v>
      </c>
      <c r="B40" s="27"/>
      <c r="C40" s="28"/>
    </row>
    <row r="41" spans="1:3" ht="15">
      <c r="A41" s="29" t="s">
        <v>78</v>
      </c>
      <c r="B41" s="19"/>
      <c r="C41" s="20"/>
    </row>
    <row r="42" spans="1:3" ht="15">
      <c r="A42" s="24" t="s">
        <v>79</v>
      </c>
      <c r="B42" s="27"/>
      <c r="C42" s="28"/>
    </row>
    <row r="43" spans="1:3">
      <c r="A43" s="30" t="s">
        <v>124</v>
      </c>
      <c r="B43" s="19"/>
      <c r="C43" s="20"/>
    </row>
    <row r="44" spans="1:3" ht="15">
      <c r="A44" s="29" t="s">
        <v>80</v>
      </c>
      <c r="B44" s="19"/>
      <c r="C44" s="20"/>
    </row>
    <row r="45" spans="1:3" ht="15">
      <c r="A45" s="24" t="s">
        <v>81</v>
      </c>
      <c r="B45" s="27"/>
      <c r="C45" s="28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30C7E-B571-4B08-A212-8E2A0B8B7A63}">
  <dimension ref="A1:C4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31" sqref="B31"/>
    </sheetView>
  </sheetViews>
  <sheetFormatPr baseColWidth="10" defaultRowHeight="14.25"/>
  <cols>
    <col min="1" max="1" width="51.625" bestFit="1" customWidth="1"/>
    <col min="2" max="2" width="73" style="8" bestFit="1" customWidth="1"/>
    <col min="3" max="3" width="91.375" bestFit="1" customWidth="1"/>
  </cols>
  <sheetData>
    <row r="1" spans="1:3">
      <c r="A1" t="s">
        <v>125</v>
      </c>
      <c r="B1" s="7">
        <v>45293</v>
      </c>
    </row>
    <row r="2" spans="1:3">
      <c r="A2" t="s">
        <v>126</v>
      </c>
      <c r="B2" s="7" t="e">
        <f ca="1">_xll.qlSettingsSetEvaluationDate(B1)</f>
        <v>#VALUE!</v>
      </c>
    </row>
    <row r="4" spans="1:3">
      <c r="A4" s="15" t="s">
        <v>111</v>
      </c>
      <c r="B4" s="16">
        <v>45475</v>
      </c>
      <c r="C4" s="17">
        <v>45475</v>
      </c>
    </row>
    <row r="5" spans="1:3">
      <c r="A5" s="18" t="s">
        <v>16</v>
      </c>
      <c r="B5" s="19">
        <v>100</v>
      </c>
      <c r="C5" s="20">
        <v>100</v>
      </c>
    </row>
    <row r="6" spans="1:3">
      <c r="A6" s="18" t="s">
        <v>112</v>
      </c>
      <c r="B6" s="21">
        <v>45293</v>
      </c>
      <c r="C6" s="22">
        <v>45293</v>
      </c>
    </row>
    <row r="7" spans="1:3">
      <c r="A7" s="18" t="s">
        <v>113</v>
      </c>
      <c r="B7" s="21">
        <v>45475</v>
      </c>
      <c r="C7" s="22">
        <v>45475</v>
      </c>
    </row>
    <row r="8" spans="1:3">
      <c r="A8" s="18" t="s">
        <v>114</v>
      </c>
      <c r="B8" s="32">
        <v>2</v>
      </c>
      <c r="C8" s="34">
        <v>2</v>
      </c>
    </row>
    <row r="9" spans="1:3">
      <c r="A9" s="30" t="s">
        <v>124</v>
      </c>
      <c r="B9" s="10" t="e">
        <f ca="1">_xll.qlFlatForward($B$1,0.02,"actual365fixed",,,$B$1)</f>
        <v>#VALUE!</v>
      </c>
      <c r="C9" s="10" t="e">
        <f ca="1">_xll.qlFlatForward($B$1,0.02,"actual365fixed",,,$B$1)</f>
        <v>#VALUE!</v>
      </c>
    </row>
    <row r="10" spans="1:3">
      <c r="A10" s="30" t="s">
        <v>151</v>
      </c>
      <c r="B10" s="19" t="e">
        <f ca="1">_xll.qlEuribor("6M",B9)</f>
        <v>#VALUE!</v>
      </c>
      <c r="C10" s="19" t="e">
        <f ca="1">_xll.qlEuribor("6M",C9)</f>
        <v>#VALUE!</v>
      </c>
    </row>
    <row r="11" spans="1:3">
      <c r="A11" s="30" t="s">
        <v>150</v>
      </c>
      <c r="B11" s="19" t="e">
        <f ca="1">_xll.qlEuribor("12M",B9)</f>
        <v>#VALUE!</v>
      </c>
      <c r="C11" s="19" t="e">
        <f ca="1">_xll.qlEuribor("12M",C9)</f>
        <v>#VALUE!</v>
      </c>
    </row>
    <row r="12" spans="1:3">
      <c r="A12" s="30" t="s">
        <v>152</v>
      </c>
      <c r="B12" s="19" t="e">
        <f ca="1">_xll.qlSwapIndex("TSwapIndex","10Y",2,"EUR","TARGET","1Y","ModifiedFollowing","actual365fixed",B10,,B10)</f>
        <v>#VALUE!</v>
      </c>
      <c r="C12" s="19" t="e">
        <f ca="1">_xll.qlSwapIndex("TSwapIndex","10Y",2,"EUR","TARGET","1Y","ModifiedFollowing","actual365fixed",C10,,C10)</f>
        <v>#VALUE!</v>
      </c>
    </row>
    <row r="13" spans="1:3">
      <c r="A13" s="30" t="s">
        <v>153</v>
      </c>
      <c r="B13" s="19" t="e">
        <f ca="1">_xll.qlSwapIndex("TSwapIndex","10Y",2,"EUR","TARGET","1Y","ModifiedFollowing","actual365fixed",B11,,B11)</f>
        <v>#VALUE!</v>
      </c>
      <c r="C13" s="19" t="e">
        <f ca="1">_xll.qlSwapIndex("TSwapIndex","10Y",2,"EUR","TARGET","1Y","ModifiedFollowing","actual365fixed",C11,,C11)</f>
        <v>#VALUE!</v>
      </c>
    </row>
    <row r="14" spans="1:3">
      <c r="A14" s="12" t="s">
        <v>149</v>
      </c>
      <c r="B14" s="13" t="e">
        <f ca="1">_xll.qlSwapSpreadIndex("Test",B12,B13)</f>
        <v>#VALUE!</v>
      </c>
      <c r="C14" s="13" t="e">
        <f ca="1">_xll.qlSwapSpreadIndex("Test",C12,C13)</f>
        <v>#VALUE!</v>
      </c>
    </row>
    <row r="15" spans="1:3">
      <c r="A15" s="33" t="s">
        <v>116</v>
      </c>
      <c r="B15" s="19"/>
      <c r="C15" s="20">
        <v>1</v>
      </c>
    </row>
    <row r="16" spans="1:3">
      <c r="A16" s="18" t="s">
        <v>117</v>
      </c>
      <c r="B16" s="19"/>
      <c r="C16" s="20">
        <v>1E-3</v>
      </c>
    </row>
    <row r="17" spans="1:3">
      <c r="A17" s="18" t="s">
        <v>118</v>
      </c>
      <c r="B17" s="19"/>
      <c r="C17" s="22">
        <v>45293</v>
      </c>
    </row>
    <row r="18" spans="1:3">
      <c r="A18" s="18" t="s">
        <v>119</v>
      </c>
      <c r="B18" s="19"/>
      <c r="C18" s="22">
        <v>45475</v>
      </c>
    </row>
    <row r="19" spans="1:3">
      <c r="A19" s="18" t="s">
        <v>120</v>
      </c>
      <c r="B19" s="19"/>
      <c r="C19" s="20" t="s">
        <v>127</v>
      </c>
    </row>
    <row r="20" spans="1:3">
      <c r="A20" s="18" t="s">
        <v>121</v>
      </c>
      <c r="B20" s="19"/>
      <c r="C20" s="20" t="b">
        <v>0</v>
      </c>
    </row>
    <row r="21" spans="1:3">
      <c r="A21" s="18" t="s">
        <v>130</v>
      </c>
      <c r="B21" s="19"/>
      <c r="C21" s="22">
        <v>45475</v>
      </c>
    </row>
    <row r="22" spans="1:3">
      <c r="A22" s="18" t="s">
        <v>123</v>
      </c>
      <c r="B22" s="19"/>
      <c r="C22" s="34" t="s">
        <v>128</v>
      </c>
    </row>
    <row r="23" spans="1:3" ht="15">
      <c r="A23" s="23" t="s">
        <v>147</v>
      </c>
      <c r="B23" s="13" t="e">
        <f ca="1">_xll.qlCmsSpreadCoupon(B4,B5,B6,B7,B8,B14,,,,,,,,,B14)</f>
        <v>#VALUE!</v>
      </c>
      <c r="C23" s="13" t="e">
        <f ca="1">_xll.qlCmsSpreadCoupon(C4,C5,C6,C7,C8,C14,C15,C16,C17,C18,C19,C20,C21,C22,C14)</f>
        <v>#VALUE!</v>
      </c>
    </row>
    <row r="24" spans="1:3" ht="15">
      <c r="A24" s="36" t="s">
        <v>148</v>
      </c>
      <c r="B24" s="13" t="e">
        <f ca="1">_xll.qlBlackIborCouponPricer()</f>
        <v>#VALUE!</v>
      </c>
      <c r="C24" s="14"/>
    </row>
    <row r="25" spans="1:3" ht="15">
      <c r="A25" s="23" t="s">
        <v>132</v>
      </c>
      <c r="B25" s="13" t="e">
        <f ca="1">_xll.qlFloatingRateCouponSetPricer(B23,B24)</f>
        <v>#VALUE!</v>
      </c>
      <c r="C25" s="14"/>
    </row>
    <row r="26" spans="1:3" ht="15">
      <c r="A26" s="29" t="s">
        <v>61</v>
      </c>
      <c r="B26" s="19" t="e">
        <f ca="1">_xll.qlCouponNominal(B23,B25)</f>
        <v>#VALUE!</v>
      </c>
      <c r="C26" s="20" t="e">
        <f ca="1">_xll.qlCouponNominal(C23,C25)</f>
        <v>#VALUE!</v>
      </c>
    </row>
    <row r="27" spans="1:3" ht="15">
      <c r="A27" s="24" t="s">
        <v>62</v>
      </c>
      <c r="B27" s="25" t="e">
        <f ca="1">_xll.qlCouponAccrualStartDate(B23,B25)</f>
        <v>#VALUE!</v>
      </c>
      <c r="C27" s="26" t="e">
        <f ca="1">_xll.qlCouponAccrualStartDate(C23,C25)</f>
        <v>#VALUE!</v>
      </c>
    </row>
    <row r="28" spans="1:3" ht="15">
      <c r="A28" s="29" t="s">
        <v>63</v>
      </c>
      <c r="B28" s="21" t="e">
        <f ca="1">_xll.qlCouponAccrualEndDate(B23,B25)</f>
        <v>#VALUE!</v>
      </c>
      <c r="C28" s="22" t="e">
        <f ca="1">_xll.qlCouponAccrualEndDate(C23,C25)</f>
        <v>#VALUE!</v>
      </c>
    </row>
    <row r="29" spans="1:3" ht="15">
      <c r="A29" s="24" t="s">
        <v>64</v>
      </c>
      <c r="B29" s="25" t="e">
        <f ca="1">_xll.qlCouponReferencePeriodStart(B23,B25)</f>
        <v>#VALUE!</v>
      </c>
      <c r="C29" s="26" t="e">
        <f ca="1">_xll.qlCouponReferencePeriodStart(C23,C25)</f>
        <v>#VALUE!</v>
      </c>
    </row>
    <row r="30" spans="1:3" ht="15">
      <c r="A30" s="29" t="s">
        <v>65</v>
      </c>
      <c r="B30" s="21" t="e">
        <f ca="1">_xll.qlCouponReferencePeriodEnd(B23,B25)</f>
        <v>#VALUE!</v>
      </c>
      <c r="C30" s="22" t="e">
        <f ca="1">_xll.qlCouponReferencePeriodEnd(C23,C25)</f>
        <v>#VALUE!</v>
      </c>
    </row>
    <row r="31" spans="1:3" ht="15">
      <c r="A31" s="24" t="s">
        <v>66</v>
      </c>
      <c r="B31" s="27" t="e">
        <f ca="1">_xll.qlCouponExCouponDate(B23,B25)</f>
        <v>#VALUE!</v>
      </c>
      <c r="C31" s="26" t="e">
        <f ca="1">_xll.qlCouponExCouponDate(C23,C25)</f>
        <v>#VALUE!</v>
      </c>
    </row>
    <row r="32" spans="1:3" ht="15">
      <c r="A32" s="29" t="s">
        <v>67</v>
      </c>
      <c r="B32" s="19"/>
      <c r="C32" s="20"/>
    </row>
    <row r="33" spans="1:3" ht="15">
      <c r="A33" s="24" t="s">
        <v>68</v>
      </c>
      <c r="B33" s="27"/>
      <c r="C33" s="28"/>
    </row>
    <row r="34" spans="1:3" ht="15">
      <c r="A34" s="29" t="s">
        <v>69</v>
      </c>
      <c r="B34" s="19"/>
      <c r="C34" s="20"/>
    </row>
    <row r="35" spans="1:3" ht="15">
      <c r="A35" s="24" t="s">
        <v>70</v>
      </c>
      <c r="B35" s="27"/>
      <c r="C35" s="28"/>
    </row>
    <row r="36" spans="1:3" ht="15">
      <c r="A36" s="29" t="s">
        <v>71</v>
      </c>
      <c r="B36" s="19"/>
      <c r="C36" s="20"/>
    </row>
    <row r="37" spans="1:3" ht="15">
      <c r="A37" s="24" t="s">
        <v>72</v>
      </c>
      <c r="B37" s="25"/>
      <c r="C37" s="26"/>
    </row>
    <row r="38" spans="1:3" ht="15">
      <c r="A38" s="29" t="s">
        <v>73</v>
      </c>
      <c r="B38" s="19"/>
      <c r="C38" s="20"/>
    </row>
    <row r="39" spans="1:3" ht="15">
      <c r="A39" s="24" t="s">
        <v>129</v>
      </c>
      <c r="B39" s="27"/>
      <c r="C39" s="28"/>
    </row>
    <row r="40" spans="1:3" ht="15">
      <c r="A40" s="29" t="s">
        <v>74</v>
      </c>
      <c r="B40" s="19"/>
      <c r="C40" s="20"/>
    </row>
    <row r="41" spans="1:3" ht="15">
      <c r="A41" s="24" t="s">
        <v>75</v>
      </c>
      <c r="B41" s="27"/>
      <c r="C41" s="28"/>
    </row>
    <row r="42" spans="1:3" ht="15">
      <c r="A42" s="29" t="s">
        <v>76</v>
      </c>
      <c r="B42" s="19"/>
      <c r="C42" s="20"/>
    </row>
    <row r="43" spans="1:3" ht="15">
      <c r="A43" s="24" t="s">
        <v>77</v>
      </c>
      <c r="B43" s="27"/>
      <c r="C43" s="28"/>
    </row>
    <row r="44" spans="1:3" ht="15">
      <c r="A44" s="29" t="s">
        <v>78</v>
      </c>
      <c r="B44" s="19"/>
      <c r="C44" s="20"/>
    </row>
    <row r="45" spans="1:3" ht="15">
      <c r="A45" s="24" t="s">
        <v>79</v>
      </c>
      <c r="B45" s="27"/>
      <c r="C45" s="28"/>
    </row>
    <row r="46" spans="1:3">
      <c r="A46" s="30" t="s">
        <v>124</v>
      </c>
      <c r="B46" s="19"/>
      <c r="C46" s="20"/>
    </row>
    <row r="47" spans="1:3" ht="15">
      <c r="A47" s="29" t="s">
        <v>80</v>
      </c>
      <c r="B47" s="19"/>
      <c r="C47" s="20"/>
    </row>
    <row r="48" spans="1:3" ht="15">
      <c r="A48" s="24" t="s">
        <v>81</v>
      </c>
      <c r="B48" s="27"/>
      <c r="C48" s="28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C698-92B6-4373-85E1-D1503D77E1AB}">
  <dimension ref="A1"/>
  <sheetViews>
    <sheetView workbookViewId="0"/>
  </sheetViews>
  <sheetFormatPr baseColWidth="10" defaultRowHeight="14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AE6D8-2E9F-48E5-B684-F0A358686681}">
  <dimension ref="A1"/>
  <sheetViews>
    <sheetView workbookViewId="0"/>
  </sheetViews>
  <sheetFormatPr baseColWidth="10" defaultRowHeight="14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44D2-0394-4394-8E67-5EFEC082D3DE}">
  <dimension ref="A1"/>
  <sheetViews>
    <sheetView workbookViewId="0"/>
  </sheetViews>
  <sheetFormatPr baseColWidth="10" defaultRowHeight="14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94392-4BA9-4759-B1B4-C834F5623A61}">
  <dimension ref="A1"/>
  <sheetViews>
    <sheetView workbookViewId="0"/>
  </sheetViews>
  <sheetFormatPr baseColWidth="10" defaultRowHeight="14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23081-0304-4DF3-A36F-66FB13059771}">
  <dimension ref="A1"/>
  <sheetViews>
    <sheetView workbookViewId="0"/>
  </sheetViews>
  <sheetFormatPr baseColWidth="10" defaultRowHeight="14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EA7C-1046-4E7D-B564-F80222FE714C}">
  <dimension ref="A1"/>
  <sheetViews>
    <sheetView workbookViewId="0">
      <selection activeCell="J29" sqref="J29"/>
    </sheetView>
  </sheetViews>
  <sheetFormatPr baseColWidth="10" defaultRowHeight="14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61D9-F884-420F-A932-A22CF2E20A4B}">
  <dimension ref="A1"/>
  <sheetViews>
    <sheetView workbookViewId="0">
      <selection activeCell="J26" sqref="J26"/>
    </sheetView>
  </sheetViews>
  <sheetFormatPr baseColWidth="10" defaultRowHeight="14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04AA1-D2CB-4DEF-A2FA-43DF5E463210}">
  <dimension ref="A1"/>
  <sheetViews>
    <sheetView workbookViewId="0">
      <selection activeCell="H31" sqref="H31"/>
    </sheetView>
  </sheetViews>
  <sheetFormatPr baseColWidth="10" defaultRowHeight="14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15BF7-002A-49B7-ABB6-2E7C26D86699}">
  <dimension ref="A1"/>
  <sheetViews>
    <sheetView workbookViewId="0">
      <selection activeCell="J34" sqref="J34"/>
    </sheetView>
  </sheetViews>
  <sheetFormatPr baseColWidth="10" defaultRowHeight="14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EvaluationDate</vt:lpstr>
      <vt:lpstr>CashFlows</vt:lpstr>
      <vt:lpstr>Coupons</vt:lpstr>
      <vt:lpstr>Legs</vt:lpstr>
      <vt:lpstr>IborCoupon</vt:lpstr>
      <vt:lpstr>CappedFlooredIborCoupon</vt:lpstr>
      <vt:lpstr>OvernightIndexedCoupon</vt:lpstr>
      <vt:lpstr>CmsCoupon</vt:lpstr>
      <vt:lpstr>CmsSpreadCoupon</vt:lpstr>
      <vt:lpstr>MultiplieResetCoupon</vt:lpstr>
      <vt:lpstr>FixedRateLeg</vt:lpstr>
      <vt:lpstr>IborLeg</vt:lpstr>
      <vt:lpstr>OvernightLeg</vt:lpstr>
      <vt:lpstr>CMSLeg</vt:lpstr>
      <vt:lpstr>CmsZeroLeg</vt:lpstr>
      <vt:lpstr>CmsSpreadLeg</vt:lpstr>
      <vt:lpstr>MultipleResetsLeg</vt:lpstr>
      <vt:lpstr>RangeAccrualLeg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2026-05-25T06:03:07Z</dcterms:created>
  <dcterms:modified xsi:type="dcterms:W3CDTF">2026-09-10T15:29:44Z</dcterms:modified>
</cp:coreProperties>
</file>